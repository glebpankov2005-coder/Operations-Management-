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Volumes" sheetId="4" state="visible" r:id="rId4"/>
    <sheet xmlns:r="http://schemas.openxmlformats.org/officeDocument/2006/relationships" name="CAPEX" sheetId="5" state="visible" r:id="rId5"/>
    <sheet xmlns:r="http://schemas.openxmlformats.org/officeDocument/2006/relationships" name="OPEX" sheetId="6" state="visible" r:id="rId6"/>
    <sheet xmlns:r="http://schemas.openxmlformats.org/officeDocument/2006/relationships" name="Labour" sheetId="7" state="visible" r:id="rId7"/>
    <sheet xmlns:r="http://schemas.openxmlformats.org/officeDocument/2006/relationships" name="KPIs" sheetId="8" state="visible" r:id="rId8"/>
    <sheet xmlns:r="http://schemas.openxmlformats.org/officeDocument/2006/relationships" name="Small parts" sheetId="9" state="visible" r:id="rId9"/>
    <sheet xmlns:r="http://schemas.openxmlformats.org/officeDocument/2006/relationships" name="Stress test" sheetId="10" state="visible" r:id="rId10"/>
    <sheet xmlns:r="http://schemas.openxmlformats.org/officeDocument/2006/relationships" name="Sensitivity" sheetId="11" state="visible" r:id="rId11"/>
  </sheets>
  <definedNames>
    <definedName name="labour_rate">'Inputs'!$B$2</definedName>
    <definedName name="lead_rate">'Inputs'!$B$3</definedName>
    <definedName name="admin_rate">'Inputs'!$B$4</definedName>
    <definedName name="paid_h_shift">'Inputs'!$B$5</definedName>
    <definedName name="days_year">'Inputs'!$B$6</definedName>
    <definedName name="indirect_fte">'Inputs'!$B$7</definedName>
    <definedName name="rack_pp">'Inputs'!$B$8</definedName>
    <definedName name="long_bay_pp">'Inputs'!$B$9</definedName>
    <definedName name="shelf_bay">'Inputs'!$B$10</definedName>
    <definedName name="vlm_unit">'Inputs'!$B$11</definedName>
    <definedName name="vlm_slot">'Inputs'!$B$12</definedName>
    <definedName name="vlm_integr">'Inputs'!$B$13</definedName>
    <definedName name="rack_reuse">'Inputs'!$B$14</definedName>
    <definedName name="rack_protect">'Inputs'!$B$15</definedName>
    <definedName name="flow_bay">'Inputs'!$B$16</definedName>
    <definedName name="ptl_slot">'Inputs'!$B$17</definedName>
    <definedName name="ptl_integr">'Inputs'!$B$18</definedName>
    <definedName name="rf_unit">'Inputs'!$B$19</definedName>
    <definedName name="pack_station">'Inputs'!$B$20</definedName>
    <definedName name="trolley">'Inputs'!$B$21</definedName>
    <definedName name="tote">'Inputs'!$B$22</definedName>
    <definedName name="wrapper">'Inputs'!$B$23</definedName>
    <definedName name="conveyor">'Inputs'!$B$24</definedName>
    <definedName name="roll_cage">'Inputs'!$B$25</definedName>
    <definedName name="wms_config">'Inputs'!$B$26</definedName>
    <definedName name="contingency">'Inputs'!$B$27</definedName>
    <definedName name="lease_etv">'Inputs'!$B$28</definedName>
    <definedName name="lease_eje">'Inputs'!$B$29</definedName>
    <definedName name="lease_ere">'Inputs'!$B$30</definedName>
    <definedName name="kwh_truck_h">'Inputs'!$B$31</definedName>
    <definedName name="power_price">'Inputs'!$B$32</definedName>
    <definedName name="rack_inspect">'Inputs'!$B$33</definedName>
    <definedName name="it_support">'Inputs'!$B$34</definedName>
    <definedName name="life_rack">'Inputs'!$B$35</definedName>
    <definedName name="life_equip">'Inputs'!$B$36</definedName>
    <definedName name="life_it">'Inputs'!$B$37</definedName>
    <definedName name="dir_h_day">'Volumes'!$B$2</definedName>
    <definedName name="loose_crew">'Volumes'!$B$3</definedName>
    <definedName name="loose_h_cont">'Volumes'!$B$4</definedName>
    <definedName name="cont_day">'Volumes'!$B$5</definedName>
    <definedName name="lines_day">'Volumes'!$B$6</definedName>
    <definedName name="orders_day">'Volumes'!$B$7</definedName>
    <definedName name="inb_day">'Volumes'!$B$8</definedName>
    <definedName name="positions">'Volumes'!$B$9</definedName>
    <definedName name="positions_long">'Volumes'!$B$10</definedName>
    <definedName name="n_etv">'Volumes'!$B$11</definedName>
    <definedName name="n_eje">'Volumes'!$B$12</definedName>
    <definedName name="n_ere">'Volumes'!$B$13</definedName>
    <definedName name="etv_h_day">'Volumes'!$B$14</definedName>
    <definedName name="pt_h_day">'Volumes'!$B$15</definedName>
    <definedName name="t_put_min">'Volumes'!$B$16</definedName>
    <definedName name="loads_now">'Volumes'!$B$17</definedName>
    <definedName name="pick_today_h">'Volumes'!$B$18</definedName>
    <definedName name="pick_future_h">'Volumes'!$B$19</definedName>
    <definedName name="capex_total">'CAPEX'!$F$21</definedName>
    <definedName name="depreciation">'CAPEX'!$H$21</definedName>
    <definedName name="capex_reuse">'CAPEX'!$F$23</definedName>
    <definedName name="capex_process">'CAPEX'!$F$24</definedName>
    <definedName name="opex_total">'OPEX'!$F$11</definedName>
    <definedName name="loose_cost_year">'OPEX'!$F$3</definedName>
    <definedName name="labour_rows">'OPEX'!$F$2:$F$4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€#,##0.00"/>
    <numFmt numFmtId="166" formatCode="€#,##0;-€#,##0"/>
    <numFmt numFmtId="167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FF4CC"/>
      </patternFill>
    </fill>
    <fill>
      <patternFill patternType="solid">
        <fgColor rgb="00E3EB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6" fontId="0" fillId="4" borderId="0" pivotButton="0" quotePrefix="0" xfId="0"/>
    <xf numFmtId="9" fontId="0" fillId="4" borderId="0" pivotButton="0" quotePrefix="0" xfId="0"/>
    <xf numFmtId="165" fontId="0" fillId="4" borderId="0" pivotButton="0" quotePrefix="0" xfId="0"/>
    <xf numFmtId="167" fontId="0" fillId="4" borderId="0" pivotButton="0" quotePrefix="0" xfId="0"/>
    <xf numFmtId="0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Project OTM — Assa Abloy @ DHL Bemmel · Deliverable 3 calculations</t>
        </is>
      </c>
    </row>
    <row r="2">
      <c r="A2" s="2" t="inlineStr"/>
    </row>
    <row r="3">
      <c r="A3" s="2" t="inlineStr">
        <is>
          <t>How to use: change a yellow cell on 'Inputs' (prices, rates) or 'Volumes' (workload). CAPEX, OPEX and Summary update.</t>
        </is>
      </c>
    </row>
    <row r="4">
      <c r="A4" s="2" t="inlineStr">
        <is>
          <t>Yellow = input. Blue rows = totals. All other numbers are formulas or values copied from the analysis scripts.</t>
        </is>
      </c>
    </row>
    <row r="5">
      <c r="A5" s="2" t="inlineStr">
        <is>
          <t>Volumes are measured in the Assa Abloy Q2-2025 data (analysis/*.py). Prices are public benchmarks or labelled</t>
        </is>
      </c>
    </row>
    <row r="6">
      <c r="A6" s="2" t="inlineStr">
        <is>
          <t>assumptions (data/assumptions.json A030-A041, sources S018-S025 in documentation/sources.md) — not quotes.</t>
        </is>
      </c>
    </row>
    <row r="7">
      <c r="A7" s="2" t="inlineStr"/>
    </row>
    <row r="8">
      <c r="A8" s="2" t="inlineStr">
        <is>
          <t>Sheets: Summary · Inputs · Volumes · CAPEX · OPEX · Labour · KPIs · Small parts · Stress test ·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3" t="inlineStr">
        <is>
          <t>Result</t>
        </is>
      </c>
      <c r="B1" s="3" t="inlineStr">
        <is>
          <t>Value</t>
        </is>
      </c>
      <c r="C1" s="3" t="inlineStr">
        <is>
          <t>Formula in words</t>
        </is>
      </c>
    </row>
    <row r="2">
      <c r="A2" s="4" t="inlineStr">
        <is>
          <t>One-off investment (CAPEX), all new</t>
        </is>
      </c>
      <c r="B2" s="5">
        <f>capex_total</f>
        <v/>
      </c>
      <c r="C2" t="inlineStr">
        <is>
          <t>CAPEX sheet</t>
        </is>
      </c>
    </row>
    <row r="3">
      <c r="A3" s="4" t="inlineStr">
        <is>
          <t>One-off investment if today's racking is re-used</t>
        </is>
      </c>
      <c r="B3" s="5">
        <f>capex_reuse</f>
        <v/>
      </c>
      <c r="C3" t="inlineStr">
        <is>
          <t>CAPEX sheet</t>
        </is>
      </c>
    </row>
    <row r="4">
      <c r="A4" s="4" t="inlineStr">
        <is>
          <t>Running cost (OPEX) per year</t>
        </is>
      </c>
      <c r="B4" s="5">
        <f>opex_total</f>
        <v/>
      </c>
      <c r="C4" t="inlineStr">
        <is>
          <t>OPEX sheet</t>
        </is>
      </c>
    </row>
    <row r="5">
      <c r="A5" s="4" t="inlineStr">
        <is>
          <t>Depreciation per year</t>
        </is>
      </c>
      <c r="B5" s="5">
        <f>depreciation</f>
        <v/>
      </c>
      <c r="C5" t="inlineStr">
        <is>
          <t>CAPEX ÷ life</t>
        </is>
      </c>
    </row>
    <row r="6">
      <c r="A6" s="4" t="inlineStr">
        <is>
          <t>Total yearly cost</t>
        </is>
      </c>
      <c r="B6" s="5">
        <f>opex_total+depreciation</f>
        <v/>
      </c>
      <c r="C6" t="inlineStr">
        <is>
          <t>OPEX + depreciation</t>
        </is>
      </c>
    </row>
    <row r="7">
      <c r="A7" s="4" t="inlineStr">
        <is>
          <t>Labour share of yearly cost</t>
        </is>
      </c>
      <c r="B7" s="6">
        <f>SUM(labour_rows)/(opex_total+depreciation)</f>
        <v/>
      </c>
      <c r="C7" t="inlineStr">
        <is>
          <t>labour ÷ yearly cost</t>
        </is>
      </c>
    </row>
    <row r="8">
      <c r="A8" s="4" t="inlineStr">
        <is>
          <t>Cost per order line</t>
        </is>
      </c>
      <c r="B8" s="7">
        <f>(opex_total+depreciation)/(lines_day*days_year)</f>
        <v/>
      </c>
      <c r="C8" t="inlineStr">
        <is>
          <t>yearly cost ÷ lines</t>
        </is>
      </c>
    </row>
    <row r="9">
      <c r="A9" s="4" t="inlineStr">
        <is>
          <t>Cost per order</t>
        </is>
      </c>
      <c r="B9" s="7">
        <f>(opex_total+depreciation)/(orders_day*days_year)</f>
        <v/>
      </c>
      <c r="C9" t="inlineStr">
        <is>
          <t>yearly cost ÷ orders</t>
        </is>
      </c>
    </row>
    <row r="10">
      <c r="A10" s="4" t="inlineStr">
        <is>
          <t>Cost per inbound pallet</t>
        </is>
      </c>
      <c r="B10" s="7">
        <f>(opex_total+depreciation)/(inb_day*days_year)</f>
        <v/>
      </c>
      <c r="C10" t="inlineStr">
        <is>
          <t>yearly cost ÷ inbound pallets</t>
        </is>
      </c>
    </row>
    <row r="11">
      <c r="A11" s="4" t="inlineStr">
        <is>
          <t>Cost per pallet position per month</t>
        </is>
      </c>
      <c r="B11" s="7">
        <f>(opex_total+depreciation)/positions/12</f>
        <v/>
      </c>
      <c r="C11" t="inlineStr">
        <is>
          <t>yearly cost ÷ positions ÷ 12</t>
        </is>
      </c>
    </row>
    <row r="12">
      <c r="A12" s="4" t="inlineStr">
        <is>
          <t>Picking labour saved per year</t>
        </is>
      </c>
      <c r="B12" s="5">
        <f>(pick_today_h-pick_future_h)/7.5*paid_h_shift*days_year*labour_rate</f>
        <v/>
      </c>
      <c r="C12" t="inlineStr">
        <is>
          <t>saved picker-h → paid h × rate</t>
        </is>
      </c>
    </row>
    <row r="13">
      <c r="A13" s="4" t="inlineStr">
        <is>
          <t>Payback, all new (years)</t>
        </is>
      </c>
      <c r="B13" s="8">
        <f>capex_total/B12</f>
        <v/>
      </c>
      <c r="C13" t="inlineStr">
        <is>
          <t>CAPEX ÷ saving</t>
        </is>
      </c>
    </row>
    <row r="14">
      <c r="A14" s="4" t="inlineStr">
        <is>
          <t>Payback, re-used racking (years)</t>
        </is>
      </c>
      <c r="B14" s="8">
        <f>capex_reuse/B12</f>
        <v/>
      </c>
      <c r="C14" t="inlineStr">
        <is>
          <t>CAPEX ÷ saving</t>
        </is>
      </c>
    </row>
    <row r="15">
      <c r="A15" s="4" t="inlineStr">
        <is>
          <t>Payback, process changes only (years)</t>
        </is>
      </c>
      <c r="B15" s="8">
        <f>capex_process/B12</f>
        <v/>
      </c>
      <c r="C15" t="inlineStr">
        <is>
          <t>process CAPEX ÷ saving</t>
        </is>
      </c>
    </row>
    <row r="16">
      <c r="A16" s="4" t="inlineStr">
        <is>
          <t>Loose container: in-house cost per container</t>
        </is>
      </c>
      <c r="B16" s="5">
        <f>loose_cost_year/(cont_day*days_year)</f>
        <v/>
      </c>
      <c r="C16" t="inlineStr">
        <is>
          <t>break-even price for a 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9" customWidth="1" min="4" max="4"/>
    <col width="42" customWidth="1" min="5" max="5"/>
    <col width="7" customWidth="1" min="6" max="6"/>
    <col width="120" customWidth="1" min="7" max="7"/>
  </cols>
  <sheetData>
    <row r="1">
      <c r="A1" s="3" t="inlineStr">
        <is>
          <t>Name</t>
        </is>
      </c>
      <c r="B1" s="3" t="inlineStr">
        <is>
          <t>Value</t>
        </is>
      </c>
      <c r="C1" s="3" t="inlineStr">
        <is>
          <t>Low</t>
        </is>
      </c>
      <c r="D1" s="3" t="inlineStr">
        <is>
          <t>High</t>
        </is>
      </c>
      <c r="E1" s="3" t="inlineStr">
        <is>
          <t>Unit</t>
        </is>
      </c>
      <c r="F1" s="3" t="inlineStr">
        <is>
          <t>ID</t>
        </is>
      </c>
      <c r="G1" s="3" t="inlineStr">
        <is>
          <t>Basis / source</t>
        </is>
      </c>
    </row>
    <row r="2">
      <c r="A2" t="inlineStr">
        <is>
          <t>labour_rate</t>
        </is>
      </c>
      <c r="B2" s="9" t="n">
        <v>20</v>
      </c>
      <c r="C2" t="n">
        <v>20</v>
      </c>
      <c r="D2" t="n">
        <v>28</v>
      </c>
      <c r="E2" t="inlineStr">
        <is>
          <t>EUR per paid hour (operative)</t>
        </is>
      </c>
      <c r="F2" t="inlineStr">
        <is>
          <t>A030</t>
        </is>
      </c>
      <c r="G2" t="inlineStr">
        <is>
          <t>teacher feedback (S026): EUR 20/h for a warehouse operator; high end EUR 28/h = CAO wage (S019) x employer premiums (S018) x holiday pay x paid-not-worked time</t>
        </is>
      </c>
    </row>
    <row r="3">
      <c r="A3" t="inlineStr">
        <is>
          <t>lead_rate</t>
        </is>
      </c>
      <c r="B3" s="9" t="n">
        <v>27</v>
      </c>
      <c r="C3" t="n">
        <v>27</v>
      </c>
      <c r="D3" t="n">
        <v>38</v>
      </c>
      <c r="E3" t="inlineStr">
        <is>
          <t>EUR per paid hour (team leader)</t>
        </is>
      </c>
      <c r="F3" t="inlineStr">
        <is>
          <t>A030</t>
        </is>
      </c>
      <c r="G3" t="inlineStr">
        <is>
          <t>operator rate x 1.35 (CAO scale F-G vs B-C, S019)</t>
        </is>
      </c>
    </row>
    <row r="4">
      <c r="A4" t="inlineStr">
        <is>
          <t>admin_rate</t>
        </is>
      </c>
      <c r="B4" s="9" t="n">
        <v>24</v>
      </c>
      <c r="C4" t="n">
        <v>24</v>
      </c>
      <c r="D4" t="n">
        <v>33</v>
      </c>
      <c r="E4" t="inlineStr">
        <is>
          <t>EUR per paid hour (inventory control / admin)</t>
        </is>
      </c>
      <c r="F4" t="inlineStr">
        <is>
          <t>A030</t>
        </is>
      </c>
      <c r="G4" t="inlineStr">
        <is>
          <t>operator rate x 1.2</t>
        </is>
      </c>
    </row>
    <row r="5">
      <c r="A5" t="inlineStr">
        <is>
          <t>paid_h_shift</t>
        </is>
      </c>
      <c r="B5" s="9" t="n">
        <v>8</v>
      </c>
      <c r="C5" t="n">
        <v>8</v>
      </c>
      <c r="D5" t="n">
        <v>8</v>
      </c>
      <c r="E5" t="inlineStr">
        <is>
          <t>paid hours per shift</t>
        </is>
      </c>
      <c r="F5" t="inlineStr">
        <is>
          <t>A015</t>
        </is>
      </c>
      <c r="G5" t="inlineStr">
        <is>
          <t>7.5 productive + breaks</t>
        </is>
      </c>
    </row>
    <row r="6">
      <c r="A6" t="inlineStr">
        <is>
          <t>days_year</t>
        </is>
      </c>
      <c r="B6" s="9" t="n">
        <v>244</v>
      </c>
      <c r="C6" t="n">
        <v>244</v>
      </c>
      <c r="D6" t="n">
        <v>244</v>
      </c>
      <c r="E6" t="inlineStr">
        <is>
          <t>working days per year</t>
        </is>
      </c>
      <c r="F6" t="inlineStr">
        <is>
          <t>A031</t>
        </is>
      </c>
      <c r="G6" t="inlineStr">
        <is>
          <t>61 operating days measured in Q2 2025 x 4</t>
        </is>
      </c>
    </row>
    <row r="7">
      <c r="A7" t="inlineStr">
        <is>
          <t>indirect_fte</t>
        </is>
      </c>
      <c r="B7" s="9" t="n">
        <v>1.5</v>
      </c>
      <c r="C7" t="n">
        <v>1</v>
      </c>
      <c r="D7" t="n">
        <v>2</v>
      </c>
      <c r="E7" t="inlineStr">
        <is>
          <t>FTE</t>
        </is>
      </c>
      <c r="F7" t="inlineStr">
        <is>
          <t>A032</t>
        </is>
      </c>
      <c r="G7" t="inlineStr">
        <is>
          <t>1 team leader (span ~1:9 at peak) + 0.5 inventory control / WMS admin</t>
        </is>
      </c>
    </row>
    <row r="8">
      <c r="A8" t="inlineStr">
        <is>
          <t>rack_pp</t>
        </is>
      </c>
      <c r="B8" s="9" t="n">
        <v>130</v>
      </c>
      <c r="C8" t="n">
        <v>80</v>
      </c>
      <c r="D8" t="n">
        <v>200</v>
      </c>
      <c r="E8" t="inlineStr">
        <is>
          <t>EUR per pallet position, installed</t>
        </is>
      </c>
      <c r="F8" t="inlineStr">
        <is>
          <t>A033</t>
        </is>
      </c>
      <c r="G8" t="inlineStr">
        <is>
          <t>EU selective racking EUR 80-140/position equipment (S020) + 30-50% install; installed 75-150 (S020); 12 m frames -&gt; upper half</t>
        </is>
      </c>
    </row>
    <row r="9">
      <c r="A9" t="inlineStr">
        <is>
          <t>long_bay_pp</t>
        </is>
      </c>
      <c r="B9" s="9" t="n">
        <v>160</v>
      </c>
      <c r="C9" t="n">
        <v>100</v>
      </c>
      <c r="D9" t="n">
        <v>250</v>
      </c>
      <c r="E9" t="inlineStr">
        <is>
          <t>EUR per long-goods position (4.5 m beams)</t>
        </is>
      </c>
      <c r="F9" t="inlineStr">
        <is>
          <t>A033</t>
        </is>
      </c>
      <c r="G9" t="inlineStr">
        <is>
          <t>assumption: ~1.25x a standard position (longer, heavier beams)</t>
        </is>
      </c>
    </row>
    <row r="10">
      <c r="A10" t="inlineStr">
        <is>
          <t>shelf_bay</t>
        </is>
      </c>
      <c r="B10" s="9" t="n">
        <v>200</v>
      </c>
      <c r="C10" t="n">
        <v>153</v>
      </c>
      <c r="D10" t="n">
        <v>245</v>
      </c>
      <c r="E10" t="inlineStr">
        <is>
          <t>EUR per bin-shelving bay (1.0 x 0.6 x 2.5 m)</t>
        </is>
      </c>
      <c r="F10" t="inlineStr">
        <is>
          <t>A042</t>
        </is>
      </c>
      <c r="G10" t="inlineStr">
        <is>
          <t>Manutan shelving EUR 153-245 per section (S030)</t>
        </is>
      </c>
    </row>
    <row r="11">
      <c r="A11" t="inlineStr">
        <is>
          <t>vlm_unit</t>
        </is>
      </c>
      <c r="B11" s="9" t="n">
        <v>60000</v>
      </c>
      <c r="C11" t="n">
        <v>48000</v>
      </c>
      <c r="D11" t="n">
        <v>90000</v>
      </c>
      <c r="E11" t="inlineStr">
        <is>
          <t>EUR per Kardex Shuttle XP 500 incl. installation (compared option)</t>
        </is>
      </c>
      <c r="F11" t="inlineStr">
        <is>
          <t>A042</t>
        </is>
      </c>
      <c r="G11" t="inlineStr">
        <is>
          <t>new Shuttle XP 500 (2,450 x 864 trays) EUR 48,000 (S027); 4,050 mm trays + installation -&gt; EUR 60,000 assumed</t>
        </is>
      </c>
    </row>
    <row r="12">
      <c r="A12" t="inlineStr">
        <is>
          <t>vlm_slot</t>
        </is>
      </c>
      <c r="B12" s="9" t="n">
        <v>8</v>
      </c>
      <c r="C12" t="n">
        <v>6</v>
      </c>
      <c r="D12" t="n">
        <v>12</v>
      </c>
      <c r="E12" t="inlineStr">
        <is>
          <t>EUR per half-bin slot (bin + divider)</t>
        </is>
      </c>
      <c r="F12" t="inlineStr">
        <is>
          <t>A042</t>
        </is>
      </c>
      <c r="G12" t="inlineStr">
        <is>
          <t>half of a 600x400 tote EUR 14.56-19.95 (S025)</t>
        </is>
      </c>
    </row>
    <row r="13">
      <c r="A13" t="inlineStr">
        <is>
          <t>vlm_integr</t>
        </is>
      </c>
      <c r="B13" s="9" t="n">
        <v>10000</v>
      </c>
      <c r="C13" t="n">
        <v>5000</v>
      </c>
      <c r="D13" t="n">
        <v>20000</v>
      </c>
      <c r="E13" t="inlineStr">
        <is>
          <t>EUR one-off</t>
        </is>
      </c>
      <c r="F13" t="inlineStr">
        <is>
          <t>A042</t>
        </is>
      </c>
      <c r="G13" t="inlineStr">
        <is>
          <t>assumption: WMS link to the lift controller + light pointer</t>
        </is>
      </c>
    </row>
    <row r="14">
      <c r="A14" t="inlineStr">
        <is>
          <t>rack_reuse</t>
        </is>
      </c>
      <c r="B14" s="9" t="n">
        <v>25</v>
      </c>
      <c r="C14" t="n">
        <v>15</v>
      </c>
      <c r="D14" t="n">
        <v>40</v>
      </c>
      <c r="E14" t="inlineStr">
        <is>
          <t>EUR per position to dismantle + re-assemble existing racking</t>
        </is>
      </c>
      <c r="F14" t="inlineStr">
        <is>
          <t>A033</t>
        </is>
      </c>
      <c r="G14" t="inlineStr">
        <is>
          <t>assumption: ~20% of a new installed position; only if today's racking fits the new layout (to confirm with DHL)</t>
        </is>
      </c>
    </row>
    <row r="15">
      <c r="A15" t="inlineStr">
        <is>
          <t>rack_protect</t>
        </is>
      </c>
      <c r="B15" s="9" t="n">
        <v>0.05</v>
      </c>
      <c r="C15" t="n">
        <v>0.03</v>
      </c>
      <c r="D15" t="n">
        <v>0.08</v>
      </c>
      <c r="E15" t="inlineStr">
        <is>
          <t>share of racking cost</t>
        </is>
      </c>
      <c r="F15" t="inlineStr">
        <is>
          <t>A033</t>
        </is>
      </c>
      <c r="G15" t="inlineStr">
        <is>
          <t>end-of-aisle guards, upright protectors, load signs (EN 15635, S015)</t>
        </is>
      </c>
    </row>
    <row r="16">
      <c r="A16" t="inlineStr">
        <is>
          <t>flow_bay</t>
        </is>
      </c>
      <c r="B16" s="9" t="n">
        <v>1800</v>
      </c>
      <c r="C16" t="n">
        <v>1100</v>
      </c>
      <c r="D16" t="n">
        <v>2300</v>
      </c>
      <c r="E16" t="inlineStr">
        <is>
          <t>EUR per carton-flow bay (2 m, 5 levels)</t>
        </is>
      </c>
      <c r="F16" t="inlineStr">
        <is>
          <t>A034</t>
        </is>
      </c>
      <c r="G16" t="inlineStr">
        <is>
          <t>new USD 1,200-2,500 per bay (S025) at ~0.9 EUR/USD; used EUR 650/bay (S025) = floor</t>
        </is>
      </c>
    </row>
    <row r="17">
      <c r="A17" t="inlineStr">
        <is>
          <t>ptl_slot</t>
        </is>
      </c>
      <c r="B17" s="9" t="n">
        <v>150</v>
      </c>
      <c r="C17" t="n">
        <v>60</v>
      </c>
      <c r="D17" t="n">
        <v>200</v>
      </c>
      <c r="E17" t="inlineStr">
        <is>
          <t>EUR per put-to-light slot</t>
        </is>
      </c>
      <c r="F17" t="inlineStr">
        <is>
          <t>A035</t>
        </is>
      </c>
      <c r="G17" t="inlineStr">
        <is>
          <t>USD 60-200 per station (S025)</t>
        </is>
      </c>
    </row>
    <row r="18">
      <c r="A18" t="inlineStr">
        <is>
          <t>ptl_integr</t>
        </is>
      </c>
      <c r="B18" s="9" t="n">
        <v>12000</v>
      </c>
      <c r="C18" t="n">
        <v>5000</v>
      </c>
      <c r="D18" t="n">
        <v>30000</v>
      </c>
      <c r="E18" t="inlineStr">
        <is>
          <t>EUR one-off</t>
        </is>
      </c>
      <c r="F18" t="inlineStr">
        <is>
          <t>A035</t>
        </is>
      </c>
      <c r="G18" t="inlineStr">
        <is>
          <t>installation + WMS integration USD 3,000-18,000 + software (S025)</t>
        </is>
      </c>
    </row>
    <row r="19">
      <c r="A19" t="inlineStr">
        <is>
          <t>rf_unit</t>
        </is>
      </c>
      <c r="B19" s="9" t="n">
        <v>1500</v>
      </c>
      <c r="C19" t="n">
        <v>450</v>
      </c>
      <c r="D19" t="n">
        <v>2300</v>
      </c>
      <c r="E19" t="inlineStr">
        <is>
          <t>EUR per RF terminal incl. cradle</t>
        </is>
      </c>
      <c r="F19" t="inlineStr">
        <is>
          <t>A036</t>
        </is>
      </c>
      <c r="G19" t="inlineStr">
        <is>
          <t>Zebra MC3300 listings EUR 435-2,326 + cradle EUR 182 (S025)</t>
        </is>
      </c>
    </row>
    <row r="20">
      <c r="A20" t="inlineStr">
        <is>
          <t>pack_station</t>
        </is>
      </c>
      <c r="B20" s="9" t="n">
        <v>2500</v>
      </c>
      <c r="C20" t="n">
        <v>1500</v>
      </c>
      <c r="D20" t="n">
        <v>4000</v>
      </c>
      <c r="E20" t="inlineStr">
        <is>
          <t>EUR per pack station</t>
        </is>
      </c>
      <c r="F20" t="inlineStr">
        <is>
          <t>A036</t>
        </is>
      </c>
      <c r="G20" t="inlineStr">
        <is>
          <t>assumption: bench, scale, label printer</t>
        </is>
      </c>
    </row>
    <row r="21">
      <c r="A21" t="inlineStr">
        <is>
          <t>trolley</t>
        </is>
      </c>
      <c r="B21" s="9" t="n">
        <v>433</v>
      </c>
      <c r="C21" t="n">
        <v>280</v>
      </c>
      <c r="D21" t="n">
        <v>600</v>
      </c>
      <c r="E21" t="inlineStr">
        <is>
          <t>EUR per pick trolley</t>
        </is>
      </c>
      <c r="F21" t="inlineStr">
        <is>
          <t>A036</t>
        </is>
      </c>
      <c r="G21" t="inlineStr">
        <is>
          <t>Fetra picking trolley EUR 432.86 net (S025)</t>
        </is>
      </c>
    </row>
    <row r="22">
      <c r="A22" t="inlineStr">
        <is>
          <t>tote</t>
        </is>
      </c>
      <c r="B22" s="9" t="n">
        <v>16</v>
      </c>
      <c r="C22" t="n">
        <v>14</v>
      </c>
      <c r="D22" t="n">
        <v>20</v>
      </c>
      <c r="E22" t="inlineStr">
        <is>
          <t>EUR per tote 600x400x320</t>
        </is>
      </c>
      <c r="F22" t="inlineStr">
        <is>
          <t>A036</t>
        </is>
      </c>
      <c r="G22" t="inlineStr">
        <is>
          <t>EUR 14.56-19.95 (S025)</t>
        </is>
      </c>
    </row>
    <row r="23">
      <c r="A23" t="inlineStr">
        <is>
          <t>wrapper</t>
        </is>
      </c>
      <c r="B23" s="9" t="n">
        <v>3849</v>
      </c>
      <c r="C23" t="n">
        <v>3000</v>
      </c>
      <c r="D23" t="n">
        <v>9000</v>
      </c>
      <c r="E23" t="inlineStr">
        <is>
          <t>EUR per semi-automatic stretch wrapper</t>
        </is>
      </c>
      <c r="F23" t="inlineStr">
        <is>
          <t>A036</t>
        </is>
      </c>
      <c r="G23" t="inlineStr">
        <is>
          <t>Vogel Starter EUR 3,849 new (S025)</t>
        </is>
      </c>
    </row>
    <row r="24">
      <c r="A24" t="inlineStr">
        <is>
          <t>conveyor</t>
        </is>
      </c>
      <c r="B24" s="9" t="n">
        <v>1250</v>
      </c>
      <c r="C24" t="n">
        <v>1000</v>
      </c>
      <c r="D24" t="n">
        <v>2500</v>
      </c>
      <c r="E24" t="inlineStr">
        <is>
          <t>EUR per extendable roller conveyor (4.5 m)</t>
        </is>
      </c>
      <c r="F24" t="inlineStr">
        <is>
          <t>A036</t>
        </is>
      </c>
      <c r="G24" t="inlineStr">
        <is>
          <t>Cromwell GBP 1,049 ex VAT (S025)</t>
        </is>
      </c>
    </row>
    <row r="25">
      <c r="A25" t="inlineStr">
        <is>
          <t>roll_cage</t>
        </is>
      </c>
      <c r="B25" s="9" t="n">
        <v>150</v>
      </c>
      <c r="C25" t="n">
        <v>100</v>
      </c>
      <c r="D25" t="n">
        <v>250</v>
      </c>
      <c r="E25" t="inlineStr">
        <is>
          <t>EUR per roll cage</t>
        </is>
      </c>
      <c r="F25" t="inlineStr">
        <is>
          <t>A036</t>
        </is>
      </c>
      <c r="G25" t="inlineStr">
        <is>
          <t>assumption</t>
        </is>
      </c>
    </row>
    <row r="26">
      <c r="A26" t="inlineStr">
        <is>
          <t>wms_config</t>
        </is>
      </c>
      <c r="B26" s="9" t="n">
        <v>25000</v>
      </c>
      <c r="C26" t="n">
        <v>10000</v>
      </c>
      <c r="D26" t="n">
        <v>50000</v>
      </c>
      <c r="E26" t="inlineStr">
        <is>
          <t>EUR one-off</t>
        </is>
      </c>
      <c r="F26" t="inlineStr">
        <is>
          <t>A037</t>
        </is>
      </c>
      <c r="G26" t="inlineStr">
        <is>
          <t>assumption: WMS set-up of waves, put-wall, slotting &amp; putaway rules (~25 consultant days)</t>
        </is>
      </c>
    </row>
    <row r="27">
      <c r="A27" t="inlineStr">
        <is>
          <t>contingency</t>
        </is>
      </c>
      <c r="B27" s="9" t="n">
        <v>0.1</v>
      </c>
      <c r="C27" t="n">
        <v>0.05</v>
      </c>
      <c r="D27" t="n">
        <v>0.2</v>
      </c>
      <c r="E27" t="inlineStr">
        <is>
          <t>share of CAPEX</t>
        </is>
      </c>
      <c r="F27" t="inlineStr">
        <is>
          <t>A037</t>
        </is>
      </c>
      <c r="G27" t="inlineStr">
        <is>
          <t>planning allowance</t>
        </is>
      </c>
    </row>
    <row r="28">
      <c r="A28" t="inlineStr">
        <is>
          <t>lease_etv</t>
        </is>
      </c>
      <c r="B28" s="9" t="n">
        <v>900</v>
      </c>
      <c r="C28" t="n">
        <v>495</v>
      </c>
      <c r="D28" t="n">
        <v>1550</v>
      </c>
      <c r="E28" t="inlineStr">
        <is>
          <t>EUR per month, full-service lease</t>
        </is>
      </c>
      <c r="F28" t="inlineStr">
        <is>
          <t>A038</t>
        </is>
      </c>
      <c r="G28" t="inlineStr">
        <is>
          <t>Dutch reach-truck lease offers EUR 350-495/month all-in (72 months) up to rental EUR 1,100-1,550/month (S021); 10.7 m Li-ion truck -&gt; upper half</t>
        </is>
      </c>
    </row>
    <row r="29">
      <c r="A29" t="inlineStr">
        <is>
          <t>lease_eje</t>
        </is>
      </c>
      <c r="B29" s="9" t="n">
        <v>150</v>
      </c>
      <c r="C29" t="n">
        <v>100</v>
      </c>
      <c r="D29" t="n">
        <v>250</v>
      </c>
      <c r="E29" t="inlineStr">
        <is>
          <t>EUR per month, full-service lease</t>
        </is>
      </c>
      <c r="F29" t="inlineStr">
        <is>
          <t>A038</t>
        </is>
      </c>
      <c r="G29" t="inlineStr">
        <is>
          <t>assumption: Li-ion pallet truck new ~EUR 2,500-3,500 (S025) over 72 months + service</t>
        </is>
      </c>
    </row>
    <row r="30">
      <c r="A30" t="inlineStr">
        <is>
          <t>lease_ere</t>
        </is>
      </c>
      <c r="B30" s="9" t="n">
        <v>350</v>
      </c>
      <c r="C30" t="n">
        <v>250</v>
      </c>
      <c r="D30" t="n">
        <v>500</v>
      </c>
      <c r="E30" t="inlineStr">
        <is>
          <t>EUR per month, full-service lease</t>
        </is>
      </c>
      <c r="F30" t="inlineStr">
        <is>
          <t>A038</t>
        </is>
      </c>
      <c r="G30" t="inlineStr">
        <is>
          <t>assumption: rider pallet truck, between pallet truck and reach truck</t>
        </is>
      </c>
    </row>
    <row r="31">
      <c r="A31" t="inlineStr">
        <is>
          <t>kwh_truck_h</t>
        </is>
      </c>
      <c r="B31" s="9" t="n">
        <v>4</v>
      </c>
      <c r="C31" t="n">
        <v>3</v>
      </c>
      <c r="D31" t="n">
        <v>6</v>
      </c>
      <c r="E31" t="inlineStr">
        <is>
          <t>kWh per truck operating hour (ETV); 1.5 for pallet trucks</t>
        </is>
      </c>
      <c r="F31" t="inlineStr">
        <is>
          <t>A039</t>
        </is>
      </c>
      <c r="G31" t="inlineStr">
        <is>
          <t>assumption</t>
        </is>
      </c>
    </row>
    <row r="32">
      <c r="A32" t="inlineStr">
        <is>
          <t>power_price</t>
        </is>
      </c>
      <c r="B32" s="9" t="n">
        <v>0.2046</v>
      </c>
      <c r="C32" t="n">
        <v>0.17</v>
      </c>
      <c r="D32" t="n">
        <v>0.25</v>
      </c>
      <c r="E32" t="inlineStr">
        <is>
          <t>EUR per kWh</t>
        </is>
      </c>
      <c r="F32" t="inlineStr">
        <is>
          <t>A039</t>
        </is>
      </c>
      <c r="G32" t="inlineStr">
        <is>
          <t>Eurostat nrg_pc_205, NL non-household 500-2,000 MWh, H1 2025 (S022)</t>
        </is>
      </c>
    </row>
    <row r="33">
      <c r="A33" t="inlineStr">
        <is>
          <t>rack_inspect</t>
        </is>
      </c>
      <c r="B33" s="9" t="n">
        <v>2500</v>
      </c>
      <c r="C33" t="n">
        <v>1500</v>
      </c>
      <c r="D33" t="n">
        <v>4000</v>
      </c>
      <c r="E33" t="inlineStr">
        <is>
          <t>EUR per year</t>
        </is>
      </c>
      <c r="F33" t="inlineStr">
        <is>
          <t>A040</t>
        </is>
      </c>
      <c r="G33" t="inlineStr">
        <is>
          <t>assumption: 1 expert inspection per year (EN 15635, S015)</t>
        </is>
      </c>
    </row>
    <row r="34">
      <c r="A34" t="inlineStr">
        <is>
          <t>it_support</t>
        </is>
      </c>
      <c r="B34" s="9" t="n">
        <v>0.15</v>
      </c>
      <c r="C34" t="n">
        <v>0.1</v>
      </c>
      <c r="D34" t="n">
        <v>0.2</v>
      </c>
      <c r="E34" t="inlineStr">
        <is>
          <t>share of IT CAPEX per year</t>
        </is>
      </c>
      <c r="F34" t="inlineStr">
        <is>
          <t>A040</t>
        </is>
      </c>
      <c r="G34" t="inlineStr">
        <is>
          <t>assumption: device repair, licences, spares</t>
        </is>
      </c>
    </row>
    <row r="35">
      <c r="A35" t="inlineStr">
        <is>
          <t>life_rack</t>
        </is>
      </c>
      <c r="B35" s="9" t="n">
        <v>15</v>
      </c>
      <c r="C35" t="n">
        <v>15</v>
      </c>
      <c r="D35" t="n">
        <v>15</v>
      </c>
      <c r="E35" t="inlineStr">
        <is>
          <t>years</t>
        </is>
      </c>
      <c r="F35" t="inlineStr">
        <is>
          <t>A041</t>
        </is>
      </c>
      <c r="G35" t="inlineStr">
        <is>
          <t>straight-line depreciation</t>
        </is>
      </c>
    </row>
    <row r="36">
      <c r="A36" t="inlineStr">
        <is>
          <t>life_equip</t>
        </is>
      </c>
      <c r="B36" s="9" t="n">
        <v>7</v>
      </c>
      <c r="C36" t="n">
        <v>7</v>
      </c>
      <c r="D36" t="n">
        <v>7</v>
      </c>
      <c r="E36" t="inlineStr">
        <is>
          <t>years</t>
        </is>
      </c>
      <c r="F36" t="inlineStr">
        <is>
          <t>A041</t>
        </is>
      </c>
      <c r="G36" t="inlineStr">
        <is>
          <t>straight-line depreciation</t>
        </is>
      </c>
    </row>
    <row r="37">
      <c r="A37" t="inlineStr">
        <is>
          <t>life_it</t>
        </is>
      </c>
      <c r="B37" s="9" t="n">
        <v>5</v>
      </c>
      <c r="C37" t="n">
        <v>5</v>
      </c>
      <c r="D37" t="n">
        <v>5</v>
      </c>
      <c r="E37" t="inlineStr">
        <is>
          <t>years</t>
        </is>
      </c>
      <c r="F37" t="inlineStr">
        <is>
          <t>A041</t>
        </is>
      </c>
      <c r="G37" t="inlineStr">
        <is>
          <t>straight-line depreciation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28" customWidth="1" min="4" max="4"/>
  </cols>
  <sheetData>
    <row r="1">
      <c r="A1" s="3" t="inlineStr">
        <is>
          <t>Name</t>
        </is>
      </c>
      <c r="B1" s="3" t="inlineStr">
        <is>
          <t>Value</t>
        </is>
      </c>
      <c r="C1" s="3" t="inlineStr">
        <is>
          <t>What</t>
        </is>
      </c>
      <c r="D1" s="3" t="inlineStr">
        <is>
          <t>From</t>
        </is>
      </c>
    </row>
    <row r="2">
      <c r="A2" t="inlineStr">
        <is>
          <t>dir_h_day</t>
        </is>
      </c>
      <c r="B2" s="10" t="n">
        <v>35.2</v>
      </c>
      <c r="C2" t="inlineStr">
        <is>
          <t>productive DHL labour hours per average day</t>
        </is>
      </c>
      <c r="D2" t="inlineStr">
        <is>
          <t>capacity plan (D2 §6.1)</t>
        </is>
      </c>
    </row>
    <row r="3">
      <c r="A3" t="inlineStr">
        <is>
          <t>loose_crew</t>
        </is>
      </c>
      <c r="B3" s="10" t="n">
        <v>2</v>
      </c>
      <c r="C3" t="inlineStr">
        <is>
          <t>people in the loose-container crew</t>
        </is>
      </c>
      <c r="D3" t="inlineStr">
        <is>
          <t>A019</t>
        </is>
      </c>
    </row>
    <row r="4">
      <c r="A4" t="inlineStr">
        <is>
          <t>loose_h_cont</t>
        </is>
      </c>
      <c r="B4" s="10" t="n">
        <v>3</v>
      </c>
      <c r="C4" t="inlineStr">
        <is>
          <t>hours per container</t>
        </is>
      </c>
      <c r="D4" t="inlineStr">
        <is>
          <t>A019</t>
        </is>
      </c>
    </row>
    <row r="5">
      <c r="A5" t="inlineStr">
        <is>
          <t>cont_day</t>
        </is>
      </c>
      <c r="B5" s="10" t="n">
        <v>1</v>
      </c>
      <c r="C5" t="inlineStr">
        <is>
          <t>loose containers per working day</t>
        </is>
      </c>
      <c r="D5" t="inlineStr">
        <is>
          <t>A019</t>
        </is>
      </c>
    </row>
    <row r="6">
      <c r="A6" t="inlineStr">
        <is>
          <t>lines_day</t>
        </is>
      </c>
      <c r="B6" s="10" t="n">
        <v>640</v>
      </c>
      <c r="C6" t="inlineStr">
        <is>
          <t>order lines per working day</t>
        </is>
      </c>
      <c r="D6" t="inlineStr">
        <is>
          <t>measured</t>
        </is>
      </c>
    </row>
    <row r="7">
      <c r="A7" t="inlineStr">
        <is>
          <t>orders_day</t>
        </is>
      </c>
      <c r="B7" s="10" t="n">
        <v>144</v>
      </c>
      <c r="C7" t="inlineStr">
        <is>
          <t>orders per working day</t>
        </is>
      </c>
      <c r="D7" t="inlineStr">
        <is>
          <t>measured</t>
        </is>
      </c>
    </row>
    <row r="8">
      <c r="A8" t="inlineStr">
        <is>
          <t>inb_day</t>
        </is>
      </c>
      <c r="B8" s="10" t="n">
        <v>98.90000000000001</v>
      </c>
      <c r="C8" t="inlineStr">
        <is>
          <t>inbound pallets per working day</t>
        </is>
      </c>
      <c r="D8" t="inlineStr">
        <is>
          <t>measured</t>
        </is>
      </c>
    </row>
    <row r="9">
      <c r="A9" t="inlineStr">
        <is>
          <t>positions</t>
        </is>
      </c>
      <c r="B9" s="10" t="n">
        <v>8960</v>
      </c>
      <c r="C9" t="inlineStr">
        <is>
          <t>pallet positions (single-deep, incl. long goods)</t>
        </is>
      </c>
      <c r="D9" t="inlineStr">
        <is>
          <t>floor plan</t>
        </is>
      </c>
    </row>
    <row r="10">
      <c r="A10" t="inlineStr">
        <is>
          <t>positions_long</t>
        </is>
      </c>
      <c r="B10" s="10" t="n">
        <v>320</v>
      </c>
      <c r="C10" t="inlineStr">
        <is>
          <t>long-goods positions (4.5 m bays)</t>
        </is>
      </c>
      <c r="D10" t="inlineStr">
        <is>
          <t>floor plan</t>
        </is>
      </c>
    </row>
    <row r="11">
      <c r="A11" t="inlineStr">
        <is>
          <t>n_etv</t>
        </is>
      </c>
      <c r="B11" s="10" t="n">
        <v>2</v>
      </c>
      <c r="C11" t="inlineStr">
        <is>
          <t>ETV 216i reach trucks</t>
        </is>
      </c>
      <c r="D11" t="inlineStr">
        <is>
          <t>fleet review (D3 §4)</t>
        </is>
      </c>
    </row>
    <row r="12">
      <c r="A12" t="inlineStr">
        <is>
          <t>n_eje</t>
        </is>
      </c>
      <c r="B12" s="10" t="n">
        <v>3</v>
      </c>
      <c r="C12" t="inlineStr">
        <is>
          <t>EJE 120i pallet trucks</t>
        </is>
      </c>
      <c r="D12" t="inlineStr">
        <is>
          <t>fleet review</t>
        </is>
      </c>
    </row>
    <row r="13">
      <c r="A13" t="inlineStr">
        <is>
          <t>n_ere</t>
        </is>
      </c>
      <c r="B13" s="10" t="n">
        <v>2</v>
      </c>
      <c r="C13" t="inlineStr">
        <is>
          <t>ERE 225 rider pallet trucks</t>
        </is>
      </c>
      <c r="D13" t="inlineStr">
        <is>
          <t>fleet review</t>
        </is>
      </c>
    </row>
    <row r="14">
      <c r="A14" t="inlineStr">
        <is>
          <t>etv_h_day</t>
        </is>
      </c>
      <c r="B14" s="10" t="n">
        <v>4.9</v>
      </c>
      <c r="C14" t="inlineStr">
        <is>
          <t>ETV operating hours per day</t>
        </is>
      </c>
      <c r="D14" t="inlineStr">
        <is>
          <t>cycle-time model</t>
        </is>
      </c>
    </row>
    <row r="15">
      <c r="A15" t="inlineStr">
        <is>
          <t>pt_h_day</t>
        </is>
      </c>
      <c r="B15" s="10" t="n">
        <v>9.100000000000001</v>
      </c>
      <c r="C15" t="inlineStr">
        <is>
          <t>pallet-truck operating hours per day</t>
        </is>
      </c>
      <c r="D15" t="inlineStr">
        <is>
          <t>cycle-time model</t>
        </is>
      </c>
    </row>
    <row r="16">
      <c r="A16" t="inlineStr">
        <is>
          <t>t_put_min</t>
        </is>
      </c>
      <c r="B16" s="10" t="n">
        <v>2.38</v>
      </c>
      <c r="C16" t="inlineStr">
        <is>
          <t>putaway cycle, minutes per pallet</t>
        </is>
      </c>
      <c r="D16" t="inlineStr">
        <is>
          <t>cycle-time model</t>
        </is>
      </c>
    </row>
    <row r="17">
      <c r="A17" t="inlineStr">
        <is>
          <t>loads_now</t>
        </is>
      </c>
      <c r="B17" s="10" t="n">
        <v>11015</v>
      </c>
      <c r="C17" t="inlineStr">
        <is>
          <t>loads to move in once (re-slotting)</t>
        </is>
      </c>
      <c r="D17" t="inlineStr">
        <is>
          <t>measured</t>
        </is>
      </c>
    </row>
    <row r="18">
      <c r="A18" t="inlineStr">
        <is>
          <t>pick_today_h</t>
        </is>
      </c>
      <c r="B18" s="10" t="n">
        <v>31.143</v>
      </c>
      <c r="C18" t="inlineStr">
        <is>
          <t>picker-hours/day today (modelled, incl. 08:00 peak staffing)</t>
        </is>
      </c>
      <c r="D18" t="inlineStr">
        <is>
          <t>D3 §2.2</t>
        </is>
      </c>
    </row>
    <row r="19">
      <c r="A19" t="inlineStr">
        <is>
          <t>pick_future_h</t>
        </is>
      </c>
      <c r="B19" s="10" t="n">
        <v>11.7</v>
      </c>
      <c r="C19" t="inlineStr">
        <is>
          <t>picker-hours/day in the design</t>
        </is>
      </c>
      <c r="D19" t="inlineStr">
        <is>
          <t>pick-time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9" customWidth="1" min="3" max="3"/>
    <col width="12" customWidth="1" min="4" max="4"/>
    <col width="13" customWidth="1" min="5" max="5"/>
    <col width="14" customWidth="1" min="6" max="6"/>
    <col width="9" customWidth="1" min="7" max="7"/>
    <col width="15" customWidth="1" min="8" max="8"/>
    <col width="22" customWidth="1" min="9" max="9"/>
  </cols>
  <sheetData>
    <row r="1">
      <c r="A1" s="3" t="inlineStr">
        <is>
          <t>Group</t>
        </is>
      </c>
      <c r="B1" s="3" t="inlineStr">
        <is>
          <t>Item</t>
        </is>
      </c>
      <c r="C1" s="3" t="inlineStr">
        <is>
          <t>Qty</t>
        </is>
      </c>
      <c r="D1" s="3" t="inlineStr">
        <is>
          <t>Unit</t>
        </is>
      </c>
      <c r="E1" s="3" t="inlineStr">
        <is>
          <t>Unit price</t>
        </is>
      </c>
      <c r="F1" s="3" t="inlineStr">
        <is>
          <t>Total</t>
        </is>
      </c>
      <c r="G1" s="3" t="inlineStr">
        <is>
          <t>Life (yrs)</t>
        </is>
      </c>
      <c r="H1" s="3" t="inlineStr">
        <is>
          <t>Depreciation / yr</t>
        </is>
      </c>
      <c r="I1" s="3" t="inlineStr">
        <is>
          <t>Source</t>
        </is>
      </c>
    </row>
    <row r="2">
      <c r="A2" t="inlineStr">
        <is>
          <t>Storage</t>
        </is>
      </c>
      <c r="B2" t="inlineStr">
        <is>
          <t>Single-deep pallet racking (incl. installation)</t>
        </is>
      </c>
      <c r="C2" s="11">
        <f>positions-positions_long</f>
        <v/>
      </c>
      <c r="D2" t="inlineStr">
        <is>
          <t>positions</t>
        </is>
      </c>
      <c r="E2" s="12">
        <f>rack_pp</f>
        <v/>
      </c>
      <c r="F2" s="13">
        <f>C2*E2</f>
        <v/>
      </c>
      <c r="G2">
        <f>life_rack</f>
        <v/>
      </c>
      <c r="H2" s="13">
        <f>F2/G2</f>
        <v/>
      </c>
      <c r="I2" t="inlineStr">
        <is>
          <t>A033 / S020</t>
        </is>
      </c>
    </row>
    <row r="3">
      <c r="A3" t="inlineStr">
        <is>
          <t>Storage</t>
        </is>
      </c>
      <c r="B3" t="inlineStr">
        <is>
          <t>Long-goods racking, 4.5 m bays (2.05 m pallets)</t>
        </is>
      </c>
      <c r="C3" s="11">
        <f>positions_long</f>
        <v/>
      </c>
      <c r="D3" t="inlineStr">
        <is>
          <t>positions</t>
        </is>
      </c>
      <c r="E3" s="12">
        <f>long_bay_pp</f>
        <v/>
      </c>
      <c r="F3" s="13">
        <f>C3*E3</f>
        <v/>
      </c>
      <c r="G3">
        <f>life_rack</f>
        <v/>
      </c>
      <c r="H3" s="13">
        <f>F3/G3</f>
        <v/>
      </c>
      <c r="I3" t="inlineStr">
        <is>
          <t>A033</t>
        </is>
      </c>
    </row>
    <row r="4">
      <c r="A4" t="inlineStr">
        <is>
          <t>Storage</t>
        </is>
      </c>
      <c r="B4" t="inlineStr">
        <is>
          <t>Rack protection, end guards, load signs</t>
        </is>
      </c>
      <c r="C4" s="11" t="n">
        <v>1</v>
      </c>
      <c r="D4" t="inlineStr">
        <is>
          <t>lot</t>
        </is>
      </c>
      <c r="E4" s="12">
        <f>rack_protect*positions*rack_pp</f>
        <v/>
      </c>
      <c r="F4" s="13">
        <f>C4*E4</f>
        <v/>
      </c>
      <c r="G4">
        <f>life_rack</f>
        <v/>
      </c>
      <c r="H4" s="13">
        <f>F4/G4</f>
        <v/>
      </c>
      <c r="I4" t="inlineStr">
        <is>
          <t>A033 / S015</t>
        </is>
      </c>
    </row>
    <row r="5">
      <c r="A5" t="inlineStr">
        <is>
          <t>Small-item storage</t>
        </is>
      </c>
      <c r="B5" t="inlineStr">
        <is>
          <t>Bin shelving for small parts (next to the put-wall)</t>
        </is>
      </c>
      <c r="C5" s="11" t="n">
        <v>188</v>
      </c>
      <c r="D5" t="inlineStr">
        <is>
          <t>bays</t>
        </is>
      </c>
      <c r="E5" s="12">
        <f>shelf_bay</f>
        <v/>
      </c>
      <c r="F5" s="13">
        <f>C5*E5</f>
        <v/>
      </c>
      <c r="G5">
        <f>life_equip</f>
        <v/>
      </c>
      <c r="H5" s="13">
        <f>F5/G5</f>
        <v/>
      </c>
      <c r="I5" t="inlineStr">
        <is>
          <t>A042 / S030</t>
        </is>
      </c>
    </row>
    <row r="6">
      <c r="A6" t="inlineStr">
        <is>
          <t>Small-item storage</t>
        </is>
      </c>
      <c r="B6" t="inlineStr">
        <is>
          <t>Half-bins and dividers</t>
        </is>
      </c>
      <c r="C6" s="11" t="n">
        <v>3948</v>
      </c>
      <c r="D6" t="inlineStr">
        <is>
          <t>slots</t>
        </is>
      </c>
      <c r="E6" s="12">
        <f>vlm_slot</f>
        <v/>
      </c>
      <c r="F6" s="13">
        <f>C6*E6</f>
        <v/>
      </c>
      <c r="G6">
        <f>life_equip</f>
        <v/>
      </c>
      <c r="H6" s="13">
        <f>F6/G6</f>
        <v/>
      </c>
      <c r="I6" t="inlineStr">
        <is>
          <t>A042 / S025</t>
        </is>
      </c>
    </row>
    <row r="7">
      <c r="A7" t="inlineStr">
        <is>
          <t>Picking</t>
        </is>
      </c>
      <c r="B7" t="inlineStr">
        <is>
          <t>Carton-flow bays, fast-pick area</t>
        </is>
      </c>
      <c r="C7" s="11" t="n">
        <v>31</v>
      </c>
      <c r="D7" t="inlineStr">
        <is>
          <t>bays</t>
        </is>
      </c>
      <c r="E7" s="12">
        <f>flow_bay</f>
        <v/>
      </c>
      <c r="F7" s="13">
        <f>C7*E7</f>
        <v/>
      </c>
      <c r="G7">
        <f>life_equip</f>
        <v/>
      </c>
      <c r="H7" s="13">
        <f>F7/G7</f>
        <v/>
      </c>
      <c r="I7" t="inlineStr">
        <is>
          <t>A034 / S025</t>
        </is>
      </c>
    </row>
    <row r="8">
      <c r="A8" t="inlineStr">
        <is>
          <t>Picking</t>
        </is>
      </c>
      <c r="B8" t="inlineStr">
        <is>
          <t>Pick trolleys (3-tier, 6 totes)</t>
        </is>
      </c>
      <c r="C8" s="11" t="n">
        <v>6</v>
      </c>
      <c r="D8" t="inlineStr">
        <is>
          <t>trolleys</t>
        </is>
      </c>
      <c r="E8" s="12">
        <f>trolley</f>
        <v/>
      </c>
      <c r="F8" s="13">
        <f>C8*E8</f>
        <v/>
      </c>
      <c r="G8">
        <f>life_equip</f>
        <v/>
      </c>
      <c r="H8" s="13">
        <f>F8/G8</f>
        <v/>
      </c>
      <c r="I8" t="inlineStr">
        <is>
          <t>S011 / S025</t>
        </is>
      </c>
    </row>
    <row r="9">
      <c r="A9" t="inlineStr">
        <is>
          <t>Picking</t>
        </is>
      </c>
      <c r="B9" t="inlineStr">
        <is>
          <t>Totes 600 x 400</t>
        </is>
      </c>
      <c r="C9" s="11" t="n">
        <v>54</v>
      </c>
      <c r="D9" t="inlineStr">
        <is>
          <t>totes</t>
        </is>
      </c>
      <c r="E9" s="12">
        <f>tote</f>
        <v/>
      </c>
      <c r="F9" s="13">
        <f>C9*E9</f>
        <v/>
      </c>
      <c r="G9">
        <f>life_equip</f>
        <v/>
      </c>
      <c r="H9" s="13">
        <f>F9/G9</f>
        <v/>
      </c>
      <c r="I9" t="inlineStr">
        <is>
          <t>S025</t>
        </is>
      </c>
    </row>
    <row r="10">
      <c r="A10" t="inlineStr">
        <is>
          <t>Sorting &amp; packing</t>
        </is>
      </c>
      <c r="B10" t="inlineStr">
        <is>
          <t>Put-to-light wall (slots)</t>
        </is>
      </c>
      <c r="C10" s="11" t="n">
        <v>90</v>
      </c>
      <c r="D10" t="inlineStr">
        <is>
          <t>slots</t>
        </is>
      </c>
      <c r="E10" s="12">
        <f>ptl_slot</f>
        <v/>
      </c>
      <c r="F10" s="13">
        <f>C10*E10</f>
        <v/>
      </c>
      <c r="G10">
        <f>life_equip</f>
        <v/>
      </c>
      <c r="H10" s="13">
        <f>F10/G10</f>
        <v/>
      </c>
      <c r="I10" t="inlineStr">
        <is>
          <t>A035 / S025</t>
        </is>
      </c>
    </row>
    <row r="11">
      <c r="A11" t="inlineStr">
        <is>
          <t>Sorting &amp; packing</t>
        </is>
      </c>
      <c r="B11" t="inlineStr">
        <is>
          <t>Put-to-light installation + WMS link</t>
        </is>
      </c>
      <c r="C11" s="11" t="n">
        <v>1</v>
      </c>
      <c r="D11" t="inlineStr">
        <is>
          <t>lot</t>
        </is>
      </c>
      <c r="E11" s="12">
        <f>ptl_integr</f>
        <v/>
      </c>
      <c r="F11" s="13">
        <f>C11*E11</f>
        <v/>
      </c>
      <c r="G11">
        <f>life_equip</f>
        <v/>
      </c>
      <c r="H11" s="13">
        <f>F11/G11</f>
        <v/>
      </c>
      <c r="I11" t="inlineStr">
        <is>
          <t>A035 / S025</t>
        </is>
      </c>
    </row>
    <row r="12">
      <c r="A12" t="inlineStr">
        <is>
          <t>Sorting &amp; packing</t>
        </is>
      </c>
      <c r="B12" t="inlineStr">
        <is>
          <t>Pack stations (bench, scale, label printer)</t>
        </is>
      </c>
      <c r="C12" s="11" t="n">
        <v>4</v>
      </c>
      <c r="D12" t="inlineStr">
        <is>
          <t>stations</t>
        </is>
      </c>
      <c r="E12" s="12">
        <f>pack_station</f>
        <v/>
      </c>
      <c r="F12" s="13">
        <f>C12*E12</f>
        <v/>
      </c>
      <c r="G12">
        <f>life_equip</f>
        <v/>
      </c>
      <c r="H12" s="13">
        <f>F12/G12</f>
        <v/>
      </c>
      <c r="I12" t="inlineStr">
        <is>
          <t>A036</t>
        </is>
      </c>
    </row>
    <row r="13">
      <c r="A13" t="inlineStr">
        <is>
          <t>Sorting &amp; packing</t>
        </is>
      </c>
      <c r="B13" t="inlineStr">
        <is>
          <t>Stretch wrapper (packing)</t>
        </is>
      </c>
      <c r="C13" s="11" t="n">
        <v>1</v>
      </c>
      <c r="D13" t="inlineStr">
        <is>
          <t>units</t>
        </is>
      </c>
      <c r="E13" s="12">
        <f>wrapper</f>
        <v/>
      </c>
      <c r="F13" s="13">
        <f>C13*E13</f>
        <v/>
      </c>
      <c r="G13">
        <f>life_equip</f>
        <v/>
      </c>
      <c r="H13" s="13">
        <f>F13/G13</f>
        <v/>
      </c>
      <c r="I13" t="inlineStr">
        <is>
          <t>S025</t>
        </is>
      </c>
    </row>
    <row r="14">
      <c r="A14" t="inlineStr">
        <is>
          <t>Sorting &amp; packing</t>
        </is>
      </c>
      <c r="B14" t="inlineStr">
        <is>
          <t>Roll cages for parcels</t>
        </is>
      </c>
      <c r="C14" s="11" t="n">
        <v>41</v>
      </c>
      <c r="D14" t="inlineStr">
        <is>
          <t>cages</t>
        </is>
      </c>
      <c r="E14" s="12">
        <f>roll_cage</f>
        <v/>
      </c>
      <c r="F14" s="13">
        <f>C14*E14</f>
        <v/>
      </c>
      <c r="G14">
        <f>life_equip</f>
        <v/>
      </c>
      <c r="H14" s="13">
        <f>F14/G14</f>
        <v/>
      </c>
      <c r="I14" t="inlineStr">
        <is>
          <t>A036</t>
        </is>
      </c>
    </row>
    <row r="15">
      <c r="A15" t="inlineStr">
        <is>
          <t>Loose-container zone</t>
        </is>
      </c>
      <c r="B15" t="inlineStr">
        <is>
          <t>Extendable roller conveyor (into the container)</t>
        </is>
      </c>
      <c r="C15" s="11" t="n">
        <v>2</v>
      </c>
      <c r="D15" t="inlineStr">
        <is>
          <t>units</t>
        </is>
      </c>
      <c r="E15" s="12">
        <f>conveyor</f>
        <v/>
      </c>
      <c r="F15" s="13">
        <f>C15*E15</f>
        <v/>
      </c>
      <c r="G15">
        <f>life_equip</f>
        <v/>
      </c>
      <c r="H15" s="13">
        <f>F15/G15</f>
        <v/>
      </c>
      <c r="I15" t="inlineStr">
        <is>
          <t>S025</t>
        </is>
      </c>
    </row>
    <row r="16">
      <c r="A16" t="inlineStr">
        <is>
          <t>Loose-container zone</t>
        </is>
      </c>
      <c r="B16" t="inlineStr">
        <is>
          <t>Stretch wrapper (newly built pallets)</t>
        </is>
      </c>
      <c r="C16" s="11" t="n">
        <v>1</v>
      </c>
      <c r="D16" t="inlineStr">
        <is>
          <t>units</t>
        </is>
      </c>
      <c r="E16" s="12">
        <f>wrapper</f>
        <v/>
      </c>
      <c r="F16" s="13">
        <f>C16*E16</f>
        <v/>
      </c>
      <c r="G16">
        <f>life_equip</f>
        <v/>
      </c>
      <c r="H16" s="13">
        <f>F16/G16</f>
        <v/>
      </c>
      <c r="I16" t="inlineStr">
        <is>
          <t>S025</t>
        </is>
      </c>
    </row>
    <row r="17">
      <c r="A17" t="inlineStr">
        <is>
          <t>IT</t>
        </is>
      </c>
      <c r="B17" t="inlineStr">
        <is>
          <t>RF terminals with cradles</t>
        </is>
      </c>
      <c r="C17" s="11" t="n">
        <v>14</v>
      </c>
      <c r="D17" t="inlineStr">
        <is>
          <t>units</t>
        </is>
      </c>
      <c r="E17" s="12">
        <f>rf_unit</f>
        <v/>
      </c>
      <c r="F17" s="13">
        <f>C17*E17</f>
        <v/>
      </c>
      <c r="G17">
        <f>life_it</f>
        <v/>
      </c>
      <c r="H17" s="13">
        <f>F17/G17</f>
        <v/>
      </c>
      <c r="I17" t="inlineStr">
        <is>
          <t>A036 / S025</t>
        </is>
      </c>
    </row>
    <row r="18">
      <c r="A18" t="inlineStr">
        <is>
          <t>IT</t>
        </is>
      </c>
      <c r="B18" t="inlineStr">
        <is>
          <t>WMS set-up: waves, put-wall, slotting, putaway rules</t>
        </is>
      </c>
      <c r="C18" s="11" t="n">
        <v>1</v>
      </c>
      <c r="D18" t="inlineStr">
        <is>
          <t>lot</t>
        </is>
      </c>
      <c r="E18" s="12">
        <f>wms_config</f>
        <v/>
      </c>
      <c r="F18" s="13">
        <f>C18*E18</f>
        <v/>
      </c>
      <c r="G18">
        <f>life_it</f>
        <v/>
      </c>
      <c r="H18" s="13">
        <f>F18/G18</f>
        <v/>
      </c>
      <c r="I18" t="inlineStr">
        <is>
          <t>A037</t>
        </is>
      </c>
    </row>
    <row r="19">
      <c r="A19" t="inlineStr">
        <is>
          <t>One-off</t>
        </is>
      </c>
      <c r="B19" t="inlineStr">
        <is>
          <t>Move-in / re-slotting (each load moved once)</t>
        </is>
      </c>
      <c r="C19" s="11" t="n">
        <v>11015</v>
      </c>
      <c r="D19" t="inlineStr">
        <is>
          <t>loads</t>
        </is>
      </c>
      <c r="E19" s="12">
        <f>t_put_min/60*(labour_rate+lease_etv*12/(days_year*7.5))</f>
        <v/>
      </c>
      <c r="F19" s="13">
        <f>C19*E19</f>
        <v/>
      </c>
      <c r="G19">
        <f>life_equip</f>
        <v/>
      </c>
      <c r="H19" s="13">
        <f>F19/G19</f>
        <v/>
      </c>
      <c r="I19" t="inlineStr">
        <is>
          <t>ETV cycle model + A030</t>
        </is>
      </c>
    </row>
    <row r="20">
      <c r="A20" t="inlineStr">
        <is>
          <t>Contingency</t>
        </is>
      </c>
      <c r="B20" t="inlineStr">
        <is>
          <t>Contingency on all items above</t>
        </is>
      </c>
      <c r="C20" t="n">
        <v>1</v>
      </c>
      <c r="D20" t="inlineStr">
        <is>
          <t>lot</t>
        </is>
      </c>
      <c r="E20" s="13">
        <f>contingency*SUM(F2:F19)</f>
        <v/>
      </c>
      <c r="F20" s="13">
        <f>C20*E20</f>
        <v/>
      </c>
      <c r="G20">
        <f>life_equip</f>
        <v/>
      </c>
      <c r="H20" s="13">
        <f>F20/G20</f>
        <v/>
      </c>
      <c r="I20" t="inlineStr">
        <is>
          <t>A037</t>
        </is>
      </c>
    </row>
    <row r="21">
      <c r="A21" s="14" t="n"/>
      <c r="B21" s="15" t="inlineStr">
        <is>
          <t>TOTAL CAPEX</t>
        </is>
      </c>
      <c r="C21" s="14" t="n"/>
      <c r="D21" s="14" t="n"/>
      <c r="E21" s="14" t="n"/>
      <c r="F21" s="5">
        <f>SUM(F2:F20)</f>
        <v/>
      </c>
      <c r="G21" s="14" t="n"/>
      <c r="H21" s="5">
        <f>SUM(H2:H20)</f>
        <v/>
      </c>
      <c r="I21" s="14" t="n"/>
    </row>
    <row r="23">
      <c r="A23" s="14" t="n"/>
      <c r="B23" s="15" t="inlineStr">
        <is>
          <t>CAPEX if today's racking is re-used (dismantle + rebuild at rack_reuse per position)</t>
        </is>
      </c>
      <c r="C23" s="14" t="n"/>
      <c r="D23" s="14" t="n"/>
      <c r="E23" s="14" t="n"/>
      <c r="F23" s="5">
        <f>(SUM(F2:F19)-F2-F3-F4+positions*rack_reuse)*(1+contingency)</f>
        <v/>
      </c>
      <c r="G23" s="14" t="n"/>
      <c r="H23" s="14" t="n"/>
      <c r="I23" s="14" t="n"/>
    </row>
    <row r="24">
      <c r="A24" s="14" t="n"/>
      <c r="B24" s="15" t="inlineStr">
        <is>
          <t>CAPEX of the process changes only (fast-pick, trolleys, totes, put-wall, RF, WMS set-up)</t>
        </is>
      </c>
      <c r="C24" s="14" t="n"/>
      <c r="D24" s="14" t="n"/>
      <c r="E24" s="14" t="n"/>
      <c r="F24" s="5">
        <f>(F7+F8+F9+F10+F11+F17+F18)*(1+contingency)</f>
        <v/>
      </c>
      <c r="G24" s="14" t="n"/>
      <c r="H24" s="14" t="n"/>
      <c r="I24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4" customWidth="1" min="6" max="6"/>
    <col width="42" customWidth="1" min="7" max="7"/>
  </cols>
  <sheetData>
    <row r="1">
      <c r="A1" s="3" t="inlineStr">
        <is>
          <t>Group</t>
        </is>
      </c>
      <c r="B1" s="3" t="inlineStr">
        <is>
          <t>Item</t>
        </is>
      </c>
      <c r="C1" s="3" t="inlineStr">
        <is>
          <t>Qty / yr</t>
        </is>
      </c>
      <c r="D1" s="3" t="inlineStr">
        <is>
          <t>Unit</t>
        </is>
      </c>
      <c r="E1" s="3" t="inlineStr">
        <is>
          <t>Unit cost</t>
        </is>
      </c>
      <c r="F1" s="3" t="inlineStr">
        <is>
          <t>Total / yr</t>
        </is>
      </c>
      <c r="G1" s="3" t="inlineStr">
        <is>
          <t>Formula in words</t>
        </is>
      </c>
    </row>
    <row r="2">
      <c r="A2" t="inlineStr">
        <is>
          <t>Labour</t>
        </is>
      </c>
      <c r="B2" t="inlineStr">
        <is>
          <t>Direct DHL labour</t>
        </is>
      </c>
      <c r="C2" s="11">
        <f>dir_h_day/7.5*paid_h_shift*days_year</f>
        <v/>
      </c>
      <c r="D2" t="inlineStr">
        <is>
          <t>paid h</t>
        </is>
      </c>
      <c r="E2" s="12">
        <f>labour_rate</f>
        <v/>
      </c>
      <c r="F2" s="13">
        <f>C2*E2</f>
        <v/>
      </c>
      <c r="G2" t="inlineStr">
        <is>
          <t>productive h ÷ 7.5 × 8 paid h × days</t>
        </is>
      </c>
    </row>
    <row r="3">
      <c r="A3" t="inlineStr">
        <is>
          <t>Labour</t>
        </is>
      </c>
      <c r="B3" t="inlineStr">
        <is>
          <t>Loose-container zone crew</t>
        </is>
      </c>
      <c r="C3" s="11">
        <f>loose_crew*loose_h_cont*cont_day/7.5*paid_h_shift*days_year</f>
        <v/>
      </c>
      <c r="D3" t="inlineStr">
        <is>
          <t>paid h</t>
        </is>
      </c>
      <c r="E3" s="12">
        <f>labour_rate</f>
        <v/>
      </c>
      <c r="F3" s="13">
        <f>C3*E3</f>
        <v/>
      </c>
      <c r="G3" t="inlineStr">
        <is>
          <t>crew × h per container × containers/day</t>
        </is>
      </c>
    </row>
    <row r="4">
      <c r="A4" t="inlineStr">
        <is>
          <t>Labour</t>
        </is>
      </c>
      <c r="B4" t="inlineStr">
        <is>
          <t>Team leader + inventory control / admin</t>
        </is>
      </c>
      <c r="C4" s="11">
        <f>indirect_fte*paid_h_shift*days_year</f>
        <v/>
      </c>
      <c r="D4" t="inlineStr">
        <is>
          <t>paid h</t>
        </is>
      </c>
      <c r="E4" s="12">
        <f>(lead_rate+0.5*admin_rate)/1.5</f>
        <v/>
      </c>
      <c r="F4" s="13">
        <f>C4*E4</f>
        <v/>
      </c>
      <c r="G4" t="inlineStr">
        <is>
          <t>1 lead + 0.5 admin</t>
        </is>
      </c>
    </row>
    <row r="5">
      <c r="A5" t="inlineStr">
        <is>
          <t>Machinery</t>
        </is>
      </c>
      <c r="B5" t="inlineStr">
        <is>
          <t>ETV 216i lease</t>
        </is>
      </c>
      <c r="C5" s="11">
        <f>n_etv*12</f>
        <v/>
      </c>
      <c r="D5" t="inlineStr">
        <is>
          <t>truck-months</t>
        </is>
      </c>
      <c r="E5" s="12">
        <f>lease_etv</f>
        <v/>
      </c>
      <c r="F5" s="13">
        <f>C5*E5</f>
        <v/>
      </c>
      <c r="G5" t="inlineStr">
        <is>
          <t>full-service lease</t>
        </is>
      </c>
    </row>
    <row r="6">
      <c r="A6" t="inlineStr">
        <is>
          <t>Machinery</t>
        </is>
      </c>
      <c r="B6" t="inlineStr">
        <is>
          <t>EJE 120i lease</t>
        </is>
      </c>
      <c r="C6" s="11">
        <f>n_eje*12</f>
        <v/>
      </c>
      <c r="D6" t="inlineStr">
        <is>
          <t>truck-months</t>
        </is>
      </c>
      <c r="E6" s="12">
        <f>lease_eje</f>
        <v/>
      </c>
      <c r="F6" s="13">
        <f>C6*E6</f>
        <v/>
      </c>
      <c r="G6" t="inlineStr">
        <is>
          <t>full-service lease</t>
        </is>
      </c>
    </row>
    <row r="7">
      <c r="A7" t="inlineStr">
        <is>
          <t>Machinery</t>
        </is>
      </c>
      <c r="B7" t="inlineStr">
        <is>
          <t>ERE 225 lease</t>
        </is>
      </c>
      <c r="C7" s="11">
        <f>n_ere*12</f>
        <v/>
      </c>
      <c r="D7" t="inlineStr">
        <is>
          <t>truck-months</t>
        </is>
      </c>
      <c r="E7" s="12">
        <f>lease_ere</f>
        <v/>
      </c>
      <c r="F7" s="13">
        <f>C7*E7</f>
        <v/>
      </c>
      <c r="G7" t="inlineStr">
        <is>
          <t>full-service lease</t>
        </is>
      </c>
    </row>
    <row r="8">
      <c r="A8" t="inlineStr">
        <is>
          <t>Machinery</t>
        </is>
      </c>
      <c r="B8" t="inlineStr">
        <is>
          <t>Electricity for trucks</t>
        </is>
      </c>
      <c r="C8" s="11">
        <f>(etv_h_day*kwh_truck_h+pt_h_day*1.5)*days_year</f>
        <v/>
      </c>
      <c r="D8" t="inlineStr">
        <is>
          <t>kWh</t>
        </is>
      </c>
      <c r="E8" s="12">
        <f>power_price</f>
        <v/>
      </c>
      <c r="F8" s="13">
        <f>C8*E8</f>
        <v/>
      </c>
      <c r="G8" t="inlineStr">
        <is>
          <t>operating h × kWh/h × price</t>
        </is>
      </c>
    </row>
    <row r="9">
      <c r="A9" t="inlineStr">
        <is>
          <t>Upkeep</t>
        </is>
      </c>
      <c r="B9" t="inlineStr">
        <is>
          <t>Rack inspection and repairs</t>
        </is>
      </c>
      <c r="C9" s="11" t="n">
        <v>1</v>
      </c>
      <c r="D9" t="inlineStr">
        <is>
          <t>per year</t>
        </is>
      </c>
      <c r="E9" s="12">
        <f>rack_inspect</f>
        <v/>
      </c>
      <c r="F9" s="13">
        <f>C9*E9</f>
        <v/>
      </c>
      <c r="G9" t="inlineStr">
        <is>
          <t>EN 15635</t>
        </is>
      </c>
    </row>
    <row r="10">
      <c r="A10" t="inlineStr">
        <is>
          <t>Upkeep</t>
        </is>
      </c>
      <c r="B10" t="inlineStr">
        <is>
          <t>IT support, licences, spares</t>
        </is>
      </c>
      <c r="C10" s="11" t="n">
        <v>1</v>
      </c>
      <c r="D10" t="inlineStr">
        <is>
          <t>per year</t>
        </is>
      </c>
      <c r="E10" s="12">
        <f>it_support*(SUMIF(CAPEX!A:A,"IT",CAPEX!F:F)+SUMIF(CAPEX!B:B,"Put-to-light*",CAPEX!F:F))</f>
        <v/>
      </c>
      <c r="F10" s="13">
        <f>C10*E10</f>
        <v/>
      </c>
      <c r="G10" t="inlineStr">
        <is>
          <t>share of IT + put-to-light CAPEX</t>
        </is>
      </c>
    </row>
    <row r="11">
      <c r="A11" s="14" t="n"/>
      <c r="B11" s="15" t="inlineStr">
        <is>
          <t>TOTAL OPEX per year</t>
        </is>
      </c>
      <c r="C11" s="14" t="n"/>
      <c r="D11" s="14" t="n"/>
      <c r="E11" s="14" t="n"/>
      <c r="F11" s="5">
        <f>SUM(F2:F10)</f>
        <v/>
      </c>
      <c r="G11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8" customWidth="1" min="4" max="4"/>
    <col width="10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>
      <c r="A1" s="3" t="inlineStr">
        <is>
          <t>Process</t>
        </is>
      </c>
      <c r="B1" s="3" t="inlineStr">
        <is>
          <t>Driver/day (avg)</t>
        </is>
      </c>
      <c r="C1" s="3" t="inlineStr">
        <is>
          <t>Unit</t>
        </is>
      </c>
      <c r="D1" s="3" t="inlineStr">
        <is>
          <t>Rate/h</t>
        </is>
      </c>
      <c r="E1" s="3" t="inlineStr">
        <is>
          <t>Peak factor</t>
        </is>
      </c>
      <c r="F1" s="3" t="inlineStr">
        <is>
          <t>Hours (avg)</t>
        </is>
      </c>
      <c r="G1" s="3" t="inlineStr">
        <is>
          <t>Hours (peak)</t>
        </is>
      </c>
      <c r="H1" s="3" t="inlineStr">
        <is>
          <t>FTE avg</t>
        </is>
      </c>
      <c r="I1" s="3" t="inlineStr">
        <is>
          <t>FTE peak</t>
        </is>
      </c>
      <c r="J1" s="3" t="inlineStr">
        <is>
          <t>DHL staff</t>
        </is>
      </c>
    </row>
    <row r="2">
      <c r="A2" t="inlineStr">
        <is>
          <t>Receiving - palletised (unload+check)</t>
        </is>
      </c>
      <c r="B2" t="n">
        <v>58.3</v>
      </c>
      <c r="C2" t="inlineStr">
        <is>
          <t>pallets</t>
        </is>
      </c>
      <c r="D2" t="n">
        <v>25</v>
      </c>
      <c r="E2" t="n">
        <v>1.69</v>
      </c>
      <c r="F2" t="n">
        <v>2.3</v>
      </c>
      <c r="G2" t="n">
        <v>3.9</v>
      </c>
      <c r="H2" t="n">
        <v>0.31</v>
      </c>
      <c r="I2" t="n">
        <v>0.52</v>
      </c>
      <c r="J2" t="b">
        <v>1</v>
      </c>
    </row>
    <row r="3">
      <c r="A3" t="inlineStr">
        <is>
          <t>Loose-container unpacking (own zone, A026)</t>
        </is>
      </c>
      <c r="B3" t="n">
        <v>6</v>
      </c>
      <c r="C3" t="inlineStr">
        <is>
          <t>person-h</t>
        </is>
      </c>
      <c r="D3" t="inlineStr">
        <is>
          <t>-</t>
        </is>
      </c>
      <c r="E3" t="n">
        <v>2</v>
      </c>
      <c r="F3" t="n">
        <v>6</v>
      </c>
      <c r="G3" t="n">
        <v>12</v>
      </c>
      <c r="H3" t="n">
        <v>0.8</v>
      </c>
      <c r="I3" t="n">
        <v>1.6</v>
      </c>
      <c r="J3" t="b">
        <v>0</v>
      </c>
    </row>
    <row r="4">
      <c r="A4" t="inlineStr">
        <is>
          <t>Putaway (reach truck)</t>
        </is>
      </c>
      <c r="B4" t="n">
        <v>98.90000000000001</v>
      </c>
      <c r="C4" t="inlineStr">
        <is>
          <t>pallets</t>
        </is>
      </c>
      <c r="D4" t="n">
        <v>20</v>
      </c>
      <c r="E4" t="n">
        <v>1.69</v>
      </c>
      <c r="F4" t="n">
        <v>4.9</v>
      </c>
      <c r="G4" t="n">
        <v>8.300000000000001</v>
      </c>
      <c r="H4" t="n">
        <v>0.66</v>
      </c>
      <c r="I4" t="n">
        <v>1.11</v>
      </c>
      <c r="J4" t="b">
        <v>1</v>
      </c>
    </row>
    <row r="5">
      <c r="A5" t="inlineStr">
        <is>
          <t>Replenishment (reach truck)</t>
        </is>
      </c>
      <c r="B5" t="n">
        <v>24.3</v>
      </c>
      <c r="C5" t="inlineStr">
        <is>
          <t>pallets</t>
        </is>
      </c>
      <c r="D5" t="n">
        <v>18</v>
      </c>
      <c r="E5" t="n">
        <v>2.85</v>
      </c>
      <c r="F5" t="n">
        <v>1.3</v>
      </c>
      <c r="G5" t="n">
        <v>3.8</v>
      </c>
      <c r="H5" t="n">
        <v>0.18</v>
      </c>
      <c r="I5" t="n">
        <v>0.51</v>
      </c>
      <c r="J5" t="b">
        <v>1</v>
      </c>
    </row>
    <row r="6">
      <c r="A6" t="inlineStr">
        <is>
          <t>Picking - small orders (trolley, batch)</t>
        </is>
      </c>
      <c r="B6" t="n">
        <v>2.9</v>
      </c>
      <c r="C6" t="inlineStr">
        <is>
          <t>picker-h</t>
        </is>
      </c>
      <c r="D6" t="inlineStr">
        <is>
          <t>-</t>
        </is>
      </c>
      <c r="E6" t="n">
        <v>1.83</v>
      </c>
      <c r="F6" t="n">
        <v>2.9</v>
      </c>
      <c r="G6" t="n">
        <v>5.3</v>
      </c>
      <c r="H6" t="n">
        <v>0.39</v>
      </c>
      <c r="I6" t="n">
        <v>0.71</v>
      </c>
      <c r="J6" t="b">
        <v>1</v>
      </c>
    </row>
    <row r="7">
      <c r="A7" t="inlineStr">
        <is>
          <t>Picking - large orders (EJE, to pallet)</t>
        </is>
      </c>
      <c r="B7" t="n">
        <v>6.9</v>
      </c>
      <c r="C7" t="inlineStr">
        <is>
          <t>picker-h</t>
        </is>
      </c>
      <c r="D7" t="inlineStr">
        <is>
          <t>-</t>
        </is>
      </c>
      <c r="E7" t="n">
        <v>1.83</v>
      </c>
      <c r="F7" t="n">
        <v>6.9</v>
      </c>
      <c r="G7" t="n">
        <v>12.7</v>
      </c>
      <c r="H7" t="n">
        <v>0.92</v>
      </c>
      <c r="I7" t="n">
        <v>1.69</v>
      </c>
      <c r="J7" t="b">
        <v>1</v>
      </c>
    </row>
    <row r="8">
      <c r="A8" t="inlineStr">
        <is>
          <t>Picking - small parts (bin shelving)</t>
        </is>
      </c>
      <c r="B8" t="n">
        <v>1.9</v>
      </c>
      <c r="C8" t="inlineStr">
        <is>
          <t>picker-h</t>
        </is>
      </c>
      <c r="D8" t="inlineStr">
        <is>
          <t>-</t>
        </is>
      </c>
      <c r="E8" t="n">
        <v>1.83</v>
      </c>
      <c r="F8" t="n">
        <v>1.9</v>
      </c>
      <c r="G8" t="n">
        <v>3.4</v>
      </c>
      <c r="H8" t="n">
        <v>0.25</v>
      </c>
      <c r="I8" t="n">
        <v>0.46</v>
      </c>
      <c r="J8" t="b">
        <v>1</v>
      </c>
    </row>
    <row r="9">
      <c r="A9" t="inlineStr">
        <is>
          <t>Full-pallet picking (reach truck)</t>
        </is>
      </c>
      <c r="B9" t="n">
        <v>6.4</v>
      </c>
      <c r="C9" t="inlineStr">
        <is>
          <t>pallets</t>
        </is>
      </c>
      <c r="D9" t="n">
        <v>22</v>
      </c>
      <c r="E9" t="n">
        <v>1.83</v>
      </c>
      <c r="F9" t="n">
        <v>0.3</v>
      </c>
      <c r="G9" t="n">
        <v>0.5</v>
      </c>
      <c r="H9" t="n">
        <v>0.04</v>
      </c>
      <c r="I9" t="n">
        <v>0.07000000000000001</v>
      </c>
      <c r="J9" t="b">
        <v>1</v>
      </c>
    </row>
    <row r="10">
      <c r="A10" t="inlineStr">
        <is>
          <t>Packing / consolidation</t>
        </is>
      </c>
      <c r="B10" t="n">
        <v>633.6</v>
      </c>
      <c r="C10" t="inlineStr">
        <is>
          <t>lines</t>
        </is>
      </c>
      <c r="D10" t="n">
        <v>45</v>
      </c>
      <c r="E10" t="n">
        <v>1.83</v>
      </c>
      <c r="F10" t="n">
        <v>14.1</v>
      </c>
      <c r="G10" t="n">
        <v>25.8</v>
      </c>
      <c r="H10" t="n">
        <v>1.88</v>
      </c>
      <c r="I10" t="n">
        <v>3.44</v>
      </c>
      <c r="J10" t="b">
        <v>1</v>
      </c>
    </row>
    <row r="11">
      <c r="A11" t="inlineStr">
        <is>
          <t>Shipping / loading</t>
        </is>
      </c>
      <c r="B11" t="n">
        <v>17.7</v>
      </c>
      <c r="C11" t="inlineStr">
        <is>
          <t>pallets</t>
        </is>
      </c>
      <c r="D11" t="n">
        <v>30</v>
      </c>
      <c r="E11" t="n">
        <v>2.85</v>
      </c>
      <c r="F11" t="n">
        <v>0.6</v>
      </c>
      <c r="G11" t="n">
        <v>1.7</v>
      </c>
      <c r="H11" t="n">
        <v>0.08</v>
      </c>
      <c r="I11" t="n">
        <v>0.22</v>
      </c>
      <c r="J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" customWidth="1" min="3" max="3"/>
    <col width="40" customWidth="1" min="4" max="4"/>
    <col width="36" customWidth="1" min="5" max="5"/>
    <col width="48" customWidth="1" min="6" max="6"/>
    <col width="30" customWidth="1" min="7" max="7"/>
  </cols>
  <sheetData>
    <row r="1">
      <c r="A1" s="3" t="inlineStr">
        <is>
          <t>Group</t>
        </is>
      </c>
      <c r="B1" s="3" t="inlineStr">
        <is>
          <t>KPI</t>
        </is>
      </c>
      <c r="C1" s="3" t="inlineStr">
        <is>
          <t>Type</t>
        </is>
      </c>
      <c r="D1" s="3" t="inlineStr">
        <is>
          <t>How it is measured</t>
        </is>
      </c>
      <c r="E1" s="3" t="inlineStr">
        <is>
          <t>Today (data)</t>
        </is>
      </c>
      <c r="F1" s="3" t="inlineStr">
        <is>
          <t>Future (design)</t>
        </is>
      </c>
      <c r="G1" s="3" t="inlineStr">
        <is>
          <t>Target / benchmark</t>
        </is>
      </c>
    </row>
    <row r="2">
      <c r="A2" t="inlineStr">
        <is>
          <t>Space</t>
        </is>
      </c>
      <c r="B2" t="inlineStr">
        <is>
          <t>Rack fill at peak</t>
        </is>
      </c>
      <c r="C2" t="inlineStr">
        <is>
          <t>own</t>
        </is>
      </c>
      <c r="D2" t="inlineStr">
        <is>
          <t>pallet locations used at the peak ÷ rack positions</t>
        </is>
      </c>
      <c r="E2" t="inlineStr">
        <is>
          <t>8,512 locations used</t>
        </is>
      </c>
      <c r="F2" t="inlineStr">
        <is>
          <t>84% (7,507 of 8,960; small parts moved to bin shelving)</t>
        </is>
      </c>
      <c r="G2" t="inlineStr">
        <is>
          <t>≤ 90%</t>
        </is>
      </c>
    </row>
    <row r="3">
      <c r="A3" t="inlineStr">
        <is>
          <t>Space</t>
        </is>
      </c>
      <c r="B3" t="inlineStr">
        <is>
          <t>Storage headroom</t>
        </is>
      </c>
      <c r="C3" t="inlineStr">
        <is>
          <t>own</t>
        </is>
      </c>
      <c r="D3" t="inlineStr">
        <is>
          <t>months until the racks are full at the Apr–Jun growth rate</t>
        </is>
      </c>
      <c r="E3" t="inlineStr">
        <is>
          <t>+10% locations in 2 months</t>
        </is>
      </c>
      <c r="F3" t="inlineStr">
        <is>
          <t>~4 months (~5 with a 12th module)</t>
        </is>
      </c>
      <c r="G3" t="inlineStr">
        <is>
          <t>≥ 12 months</t>
        </is>
      </c>
    </row>
    <row r="4">
      <c r="A4" t="inlineStr">
        <is>
          <t>Space</t>
        </is>
      </c>
      <c r="B4" t="inlineStr">
        <is>
          <t>Small-item density</t>
        </is>
      </c>
      <c r="C4" t="inlineStr">
        <is>
          <t>own</t>
        </is>
      </c>
      <c r="D4" t="inlineStr">
        <is>
          <t>SKUs stored per m² of floor</t>
        </is>
      </c>
      <c r="E4" t="inlineStr">
        <is>
          <t>~2.6 SKUs/m² (one pallet location each)</t>
        </is>
      </c>
      <c r="F4" t="inlineStr">
        <is>
          <t>~13 SKUs/m² in bin shelving</t>
        </is>
      </c>
      <c r="G4" t="inlineStr">
        <is>
          <t>≥ 5× better</t>
        </is>
      </c>
    </row>
    <row r="5">
      <c r="A5" t="inlineStr">
        <is>
          <t>Space</t>
        </is>
      </c>
      <c r="B5" t="inlineStr">
        <is>
          <t>Floor area used</t>
        </is>
      </c>
      <c r="C5" t="inlineStr">
        <is>
          <t>own</t>
        </is>
      </c>
      <c r="D5" t="inlineStr">
        <is>
          <t>zones + aisles ÷ 7,000 m²</t>
        </is>
      </c>
      <c r="E5" t="inlineStr">
        <is>
          <t>—</t>
        </is>
      </c>
      <c r="F5" t="inlineStr">
        <is>
          <t>6,731 m² (96%)</t>
        </is>
      </c>
      <c r="G5" t="inlineStr">
        <is>
          <t>≤ 7,000 m²</t>
        </is>
      </c>
    </row>
    <row r="6">
      <c r="A6" t="inlineStr">
        <is>
          <t>Inbound</t>
        </is>
      </c>
      <c r="B6" t="inlineStr">
        <is>
          <t>Dock-to-stock time</t>
        </is>
      </c>
      <c r="C6" t="inlineStr">
        <is>
          <t>W3</t>
        </is>
      </c>
      <c r="D6" t="inlineStr">
        <is>
          <t>truck at the door → pallet in its location</t>
        </is>
      </c>
      <c r="E6" t="inlineStr">
        <is>
          <t>big China receipts take 1–3 days to book in</t>
        </is>
      </c>
      <c r="F6" t="inlineStr">
        <is>
          <t>~1.5 h per palletised trailer; ~3.8 h per loose container</t>
        </is>
      </c>
      <c r="G6" t="inlineStr">
        <is>
          <t>&lt; 3.5 h (S023)</t>
        </is>
      </c>
    </row>
    <row r="7">
      <c r="A7" t="inlineStr">
        <is>
          <t>Inbound</t>
        </is>
      </c>
      <c r="B7" t="inlineStr">
        <is>
          <t>Containers unpacked inside their zone</t>
        </is>
      </c>
      <c r="C7" t="inlineStr">
        <is>
          <t>own</t>
        </is>
      </c>
      <c r="D7" t="inlineStr">
        <is>
          <t>% of containers whose unpacking fits the 190 m² zone</t>
        </is>
      </c>
      <c r="E7" t="inlineStr">
        <is>
          <t>—</t>
        </is>
      </c>
      <c r="F7" t="inlineStr">
        <is>
          <t>91% (another 6% by lending door R2)</t>
        </is>
      </c>
      <c r="G7" t="inlineStr">
        <is>
          <t>≥ 90%</t>
        </is>
      </c>
    </row>
    <row r="8">
      <c r="A8" t="inlineStr">
        <is>
          <t>Inbound</t>
        </is>
      </c>
      <c r="B8" t="inlineStr">
        <is>
          <t>Container door time</t>
        </is>
      </c>
      <c r="C8" t="inlineStr">
        <is>
          <t>own</t>
        </is>
      </c>
      <c r="D8" t="inlineStr">
        <is>
          <t>dock-on + unpack + palletise per 40 ft container</t>
        </is>
      </c>
      <c r="E8" t="inlineStr">
        <is>
          <t>—</t>
        </is>
      </c>
      <c r="F8" t="inlineStr">
        <is>
          <t>~3.3 h</t>
        </is>
      </c>
      <c r="G8" t="inlineStr">
        <is>
          <t>≤ 4 h</t>
        </is>
      </c>
    </row>
    <row r="9">
      <c r="A9" t="inlineStr">
        <is>
          <t>Inbound</t>
        </is>
      </c>
      <c r="B9" t="inlineStr">
        <is>
          <t>Put-away cycle time</t>
        </is>
      </c>
      <c r="C9" t="inlineStr">
        <is>
          <t>W3</t>
        </is>
      </c>
      <c r="D9" t="inlineStr">
        <is>
          <t>minutes per pallet, reach truck</t>
        </is>
      </c>
      <c r="E9" t="inlineStr">
        <is>
          <t>—</t>
        </is>
      </c>
      <c r="F9" t="inlineStr">
        <is>
          <t>2.4 min per pallet (~25 per truck-hour)</t>
        </is>
      </c>
      <c r="G9" t="inlineStr">
        <is>
          <t>≤ 3 min</t>
        </is>
      </c>
    </row>
    <row r="10">
      <c r="A10" t="inlineStr">
        <is>
          <t>Picking</t>
        </is>
      </c>
      <c r="B10" t="inlineStr">
        <is>
          <t>Pick rate</t>
        </is>
      </c>
      <c r="C10" t="inlineStr">
        <is>
          <t>W3</t>
        </is>
      </c>
      <c r="D10" t="inlineStr">
        <is>
          <t>order lines per picker-hour</t>
        </is>
      </c>
      <c r="E10" t="inlineStr">
        <is>
          <t>—</t>
        </is>
      </c>
      <c r="F10" t="inlineStr">
        <is>
          <t>~54 lines/h (fast-pick 99, reserve 49, large orders 44, small-parts shelving 50)</t>
        </is>
      </c>
      <c r="G10" t="inlineStr">
        <is>
          <t>≥ 50 lines/h</t>
        </is>
      </c>
    </row>
    <row r="11">
      <c r="A11" t="inlineStr">
        <is>
          <t>Picking</t>
        </is>
      </c>
      <c r="B11" t="inlineStr">
        <is>
          <t>Fast-pick hit rate</t>
        </is>
      </c>
      <c r="C11" t="inlineStr">
        <is>
          <t>own</t>
        </is>
      </c>
      <c r="D11" t="inlineStr">
        <is>
          <t>lines picked in the fast-pick area ÷ all picked lines</t>
        </is>
      </c>
      <c r="E11" t="inlineStr">
        <is>
          <t>—</t>
        </is>
      </c>
      <c r="F11" t="inlineStr">
        <is>
          <t>71%</t>
        </is>
      </c>
      <c r="G11" t="inlineStr">
        <is>
          <t>≥ 60%</t>
        </is>
      </c>
    </row>
    <row r="12">
      <c r="A12" t="inlineStr">
        <is>
          <t>Picking</t>
        </is>
      </c>
      <c r="B12" t="inlineStr">
        <is>
          <t>Walking per picked line</t>
        </is>
      </c>
      <c r="C12" t="inlineStr">
        <is>
          <t>own</t>
        </is>
      </c>
      <c r="D12" t="inlineStr">
        <is>
          <t>metres walked in all tours ÷ picked lines</t>
        </is>
      </c>
      <c r="E12" t="inlineStr">
        <is>
          <t>—</t>
        </is>
      </c>
      <c r="F12" t="inlineStr">
        <is>
          <t>~14 m</t>
        </is>
      </c>
      <c r="G12" t="inlineStr">
        <is>
          <t>≤ 15 m</t>
        </is>
      </c>
    </row>
    <row r="13">
      <c r="A13" t="inlineStr">
        <is>
          <t>Picking</t>
        </is>
      </c>
      <c r="B13" t="inlineStr">
        <is>
          <t>Trolley fill</t>
        </is>
      </c>
      <c r="C13" t="inlineStr">
        <is>
          <t>own</t>
        </is>
      </c>
      <c r="D13" t="inlineStr">
        <is>
          <t>volume or weight filled per trolley tour</t>
        </is>
      </c>
      <c r="E13" t="inlineStr">
        <is>
          <t>—</t>
        </is>
      </c>
      <c r="F13" t="inlineStr">
        <is>
          <t>80% (batch closed at 80%)</t>
        </is>
      </c>
      <c r="G13" t="inlineStr">
        <is>
          <t>75–85%</t>
        </is>
      </c>
    </row>
    <row r="14">
      <c r="A14" t="inlineStr">
        <is>
          <t>Picking</t>
        </is>
      </c>
      <c r="B14" t="inlineStr">
        <is>
          <t>Small-parts picking time</t>
        </is>
      </c>
      <c r="C14" t="inlineStr">
        <is>
          <t>own</t>
        </is>
      </c>
      <c r="D14" t="inlineStr">
        <is>
          <t>small-parts lines ÷ 50 lines/h</t>
        </is>
      </c>
      <c r="E14" t="inlineStr">
        <is>
          <t>—</t>
        </is>
      </c>
      <c r="F14" t="inlineStr">
        <is>
          <t>1.9 h/day for 93 lines</t>
        </is>
      </c>
      <c r="G14" t="inlineStr">
        <is>
          <t>≤ 2 h/day</t>
        </is>
      </c>
    </row>
    <row r="15">
      <c r="A15" t="inlineStr">
        <is>
          <t>Picking</t>
        </is>
      </c>
      <c r="B15" t="inlineStr">
        <is>
          <t>Picking hours per day</t>
        </is>
      </c>
      <c r="C15" t="inlineStr">
        <is>
          <t>own</t>
        </is>
      </c>
      <c r="D15" t="inlineStr">
        <is>
          <t>picker-hours, average day</t>
        </is>
      </c>
      <c r="E15" t="inlineStr">
        <is>
          <t>~31 h (modelled: single-order picking, staffed for the 08:00 peak)</t>
        </is>
      </c>
      <c r="F15" t="inlineStr">
        <is>
          <t>11.7 h</t>
        </is>
      </c>
      <c r="G15" t="inlineStr">
        <is>
          <t>—</t>
        </is>
      </c>
    </row>
    <row r="16">
      <c r="A16" t="inlineStr">
        <is>
          <t>Picking</t>
        </is>
      </c>
      <c r="B16" t="inlineStr">
        <is>
          <t>Pick accuracy</t>
        </is>
      </c>
      <c r="C16" t="inlineStr">
        <is>
          <t>W3</t>
        </is>
      </c>
      <c r="D16" t="inlineStr">
        <is>
          <t>% of orders without a picking error</t>
        </is>
      </c>
      <c r="E16" t="inlineStr">
        <is>
          <t>not in the data</t>
        </is>
      </c>
      <c r="F16" t="inlineStr">
        <is>
          <t>≥ 99.7% (scan every pick + put-to-light check)</t>
        </is>
      </c>
      <c r="G16" t="inlineStr">
        <is>
          <t>median 99.3%, best 99.68% (S023)</t>
        </is>
      </c>
    </row>
    <row r="17">
      <c r="A17" t="inlineStr">
        <is>
          <t>Service</t>
        </is>
      </c>
      <c r="B17" t="inlineStr">
        <is>
          <t>Order lead time (per order)</t>
        </is>
      </c>
      <c r="C17" t="inlineStr">
        <is>
          <t>own</t>
        </is>
      </c>
      <c r="D17" t="inlineStr">
        <is>
          <t>order received → trailer leaves</t>
        </is>
      </c>
      <c r="E17" t="inlineStr">
        <is>
          <t>median 25 h, p90 102 h</t>
        </is>
      </c>
      <c r="F17" t="inlineStr">
        <is>
          <t>median 22 h, p90 70 h</t>
        </is>
      </c>
      <c r="G17" t="inlineStr">
        <is>
          <t>p90 ≤ 72 h</t>
        </is>
      </c>
    </row>
    <row r="18">
      <c r="A18" t="inlineStr">
        <is>
          <t>Service</t>
        </is>
      </c>
      <c r="B18" t="inlineStr">
        <is>
          <t>Orders out within 24 h</t>
        </is>
      </c>
      <c r="C18" t="inlineStr">
        <is>
          <t>own</t>
        </is>
      </c>
      <c r="D18" t="inlineStr">
        <is>
          <t>% of orders</t>
        </is>
      </c>
      <c r="E18" t="inlineStr">
        <is>
          <t>37%</t>
        </is>
      </c>
      <c r="F18" t="inlineStr">
        <is>
          <t>65%</t>
        </is>
      </c>
      <c r="G18" t="inlineStr">
        <is>
          <t>≥ 60%</t>
        </is>
      </c>
    </row>
    <row r="19">
      <c r="A19" t="inlineStr">
        <is>
          <t>Service</t>
        </is>
      </c>
      <c r="B19" t="inlineStr">
        <is>
          <t>On-time shipment</t>
        </is>
      </c>
      <c r="C19" t="inlineStr">
        <is>
          <t>W3</t>
        </is>
      </c>
      <c r="D19" t="inlineStr">
        <is>
          <t>% of lines staged before the planned departure</t>
        </is>
      </c>
      <c r="E19" t="inlineStr">
        <is>
          <t>49.9% (50.1% 'LATE', A005)</t>
        </is>
      </c>
      <c r="F19" t="inlineStr">
        <is>
          <t>≥ 98% (every wave ends ≥ 45 min before its trailers leave)</t>
        </is>
      </c>
      <c r="G19" t="inlineStr">
        <is>
          <t>≥ 98%</t>
        </is>
      </c>
    </row>
    <row r="20">
      <c r="A20" t="inlineStr">
        <is>
          <t>Docks</t>
        </is>
      </c>
      <c r="B20" t="inlineStr">
        <is>
          <t>Trailers at the doors at once</t>
        </is>
      </c>
      <c r="C20" t="inlineStr">
        <is>
          <t>own</t>
        </is>
      </c>
      <c r="D20" t="inlineStr">
        <is>
          <t>busy day, p90</t>
        </is>
      </c>
      <c r="E20" t="inlineStr">
        <is>
          <t>15 (parked all day)</t>
        </is>
      </c>
      <c r="F20" t="inlineStr">
        <is>
          <t>max 4 of 5 doors (time slots)</t>
        </is>
      </c>
      <c r="G20" t="inlineStr">
        <is>
          <t>≤ 5</t>
        </is>
      </c>
    </row>
    <row r="21">
      <c r="A21" t="inlineStr">
        <is>
          <t>Docks</t>
        </is>
      </c>
      <c r="B21" t="inlineStr">
        <is>
          <t>Outbound staging fill</t>
        </is>
      </c>
      <c r="C21" t="inlineStr">
        <is>
          <t>own</t>
        </is>
      </c>
      <c r="D21" t="inlineStr">
        <is>
          <t>staging m² needed on the busiest afternoon ÷ 216 m²</t>
        </is>
      </c>
      <c r="E21" t="inlineStr">
        <is>
          <t>—</t>
        </is>
      </c>
      <c r="F21" t="inlineStr">
        <is>
          <t>46% (p90 day 28%)</t>
        </is>
      </c>
      <c r="G21" t="inlineStr">
        <is>
          <t>≤ 80%</t>
        </is>
      </c>
    </row>
    <row r="22">
      <c r="A22" t="inlineStr">
        <is>
          <t>People</t>
        </is>
      </c>
      <c r="B22" t="inlineStr">
        <is>
          <t>Direct labour</t>
        </is>
      </c>
      <c r="C22" t="inlineStr">
        <is>
          <t>own</t>
        </is>
      </c>
      <c r="D22" t="inlineStr">
        <is>
          <t>FTE, average / peak day</t>
        </is>
      </c>
      <c r="E22" t="inlineStr">
        <is>
          <t>not in the data</t>
        </is>
      </c>
      <c r="F22" t="inlineStr">
        <is>
          <t>4.7 / 8.7 FTE + 1.5 indirect</t>
        </is>
      </c>
      <c r="G22" t="inlineStr">
        <is>
          <t>—</t>
        </is>
      </c>
    </row>
    <row r="23">
      <c r="A23" t="inlineStr">
        <is>
          <t>People</t>
        </is>
      </c>
      <c r="B23" t="inlineStr">
        <is>
          <t>Labour productivity</t>
        </is>
      </c>
      <c r="C23" t="inlineStr">
        <is>
          <t>own</t>
        </is>
      </c>
      <c r="D23" t="inlineStr">
        <is>
          <t>order lines per direct labour hour</t>
        </is>
      </c>
      <c r="E23" t="inlineStr">
        <is>
          <t>—</t>
        </is>
      </c>
      <c r="F23" t="inlineStr">
        <is>
          <t>18.2 lines/h</t>
        </is>
      </c>
      <c r="G23" t="inlineStr">
        <is>
          <t>—</t>
        </is>
      </c>
    </row>
    <row r="24">
      <c r="A24" t="inlineStr">
        <is>
          <t>Machinery</t>
        </is>
      </c>
      <c r="B24" t="inlineStr">
        <is>
          <t>Truck utilisation (average day)</t>
        </is>
      </c>
      <c r="C24" t="inlineStr">
        <is>
          <t>own</t>
        </is>
      </c>
      <c r="D24" t="inlineStr">
        <is>
          <t>operating h ÷ (units × 7.5 h)</t>
        </is>
      </c>
      <c r="E24" t="inlineStr">
        <is>
          <t>—</t>
        </is>
      </c>
      <c r="F24" t="inlineStr">
        <is>
          <t>ETV 33% · EJE 31% · ERE 14%</t>
        </is>
      </c>
      <c r="G24" t="inlineStr">
        <is>
          <t>peak day ≤ 80%</t>
        </is>
      </c>
    </row>
    <row r="25">
      <c r="A25" t="inlineStr">
        <is>
          <t>Cost</t>
        </is>
      </c>
      <c r="B25" t="inlineStr">
        <is>
          <t>Cost per order line</t>
        </is>
      </c>
      <c r="C25" t="inlineStr">
        <is>
          <t>own</t>
        </is>
      </c>
      <c r="D25" t="inlineStr">
        <is>
          <t>(OPEX + depreciation) ÷ lines</t>
        </is>
      </c>
      <c r="E25" t="inlineStr">
        <is>
          <t>—</t>
        </is>
      </c>
      <c r="F25" t="inlineStr">
        <is>
          <t>€3.08</t>
        </is>
      </c>
      <c r="G25" t="inlineStr">
        <is>
          <t>—</t>
        </is>
      </c>
    </row>
    <row r="26">
      <c r="A26" t="inlineStr">
        <is>
          <t>Cost</t>
        </is>
      </c>
      <c r="B26" t="inlineStr">
        <is>
          <t>Cost per order</t>
        </is>
      </c>
      <c r="C26" t="inlineStr">
        <is>
          <t>own</t>
        </is>
      </c>
      <c r="D26" t="inlineStr">
        <is>
          <t>(OPEX + depreciation) ÷ orders</t>
        </is>
      </c>
      <c r="E26" t="inlineStr">
        <is>
          <t>—</t>
        </is>
      </c>
      <c r="F26" t="inlineStr">
        <is>
          <t>€13.68</t>
        </is>
      </c>
      <c r="G26" t="inlineStr">
        <is>
          <t>—</t>
        </is>
      </c>
    </row>
    <row r="27">
      <c r="A27" t="inlineStr">
        <is>
          <t>Safety</t>
        </is>
      </c>
      <c r="B27" t="inlineStr">
        <is>
          <t>Trucks and pickers separated</t>
        </is>
      </c>
      <c r="C27" t="inlineStr">
        <is>
          <t>own</t>
        </is>
      </c>
      <c r="D27" t="inlineStr">
        <is>
          <t>pick faces without reach-truck traffic</t>
        </is>
      </c>
      <c r="E27" t="inlineStr">
        <is>
          <t>—</t>
        </is>
      </c>
      <c r="F27" t="inlineStr">
        <is>
          <t>100% (trucks refill from the rear and use the perimeter + cross-aisles)</t>
        </is>
      </c>
      <c r="G27" t="inlineStr">
        <is>
          <t>0 lost-time incidents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80" customWidth="1" min="8" max="8"/>
  </cols>
  <sheetData>
    <row r="1">
      <c r="A1" s="3" t="inlineStr">
        <is>
          <t>Option</t>
        </is>
      </c>
      <c r="B1" s="3" t="inlineStr">
        <is>
          <t>Floor m²</t>
        </is>
      </c>
      <c r="C1" s="3" t="inlineStr">
        <is>
          <t>Pallet positions used</t>
        </is>
      </c>
      <c r="D1" s="3" t="inlineStr">
        <is>
          <t>CAPEX EUR</t>
        </is>
      </c>
      <c r="E1" s="3" t="inlineStr">
        <is>
          <t>Pick rate lines/h</t>
        </is>
      </c>
      <c r="F1" s="3" t="inlineStr">
        <is>
          <t>Picking EUR/yr</t>
        </is>
      </c>
      <c r="G1" s="3" t="inlineStr">
        <is>
          <t>Yearly cost EUR</t>
        </is>
      </c>
      <c r="H1" s="3" t="inlineStr">
        <is>
          <t>Notes</t>
        </is>
      </c>
    </row>
    <row r="2">
      <c r="A2" t="inlineStr">
        <is>
          <t>Keep in pallet racks (today)</t>
        </is>
      </c>
      <c r="B2" t="n">
        <v>393</v>
      </c>
      <c r="C2" t="n">
        <v>1005</v>
      </c>
      <c r="D2" t="n">
        <v>130650</v>
      </c>
      <c r="E2" t="n">
        <v>49</v>
      </c>
      <c r="F2" t="n">
        <v>9911</v>
      </c>
      <c r="G2" t="n">
        <v>28576</v>
      </c>
      <c r="H2" t="inlineStr">
        <is>
          <t>one 1 m³ pallet location for a few litres of stock; long walks in the reserve aisles</t>
        </is>
      </c>
    </row>
    <row r="3">
      <c r="A3" t="inlineStr">
        <is>
          <t>Bin shelving next to the put-wall (chosen)</t>
        </is>
      </c>
      <c r="B3" t="n">
        <v>207</v>
      </c>
      <c r="C3" t="n">
        <v>0</v>
      </c>
      <c r="D3" t="n">
        <v>69184</v>
      </c>
      <c r="E3" t="n">
        <v>50</v>
      </c>
      <c r="F3" t="n">
        <v>9713</v>
      </c>
      <c r="G3" t="n">
        <v>19597</v>
      </c>
      <c r="H3" t="inlineStr">
        <is>
          <t>188 bays, 2.5 m high; cheapest; fits in the packing area's spare floor; items go straight into the put-wall</t>
        </is>
      </c>
    </row>
    <row r="4">
      <c r="A4" t="inlineStr">
        <is>
          <t>Kardex Shuttle XP 500 lifts</t>
        </is>
      </c>
      <c r="B4" t="n">
        <v>66</v>
      </c>
      <c r="C4" t="n">
        <v>0</v>
      </c>
      <c r="D4" t="n">
        <v>224560</v>
      </c>
      <c r="E4" t="n">
        <v>75</v>
      </c>
      <c r="F4" t="n">
        <v>6475</v>
      </c>
      <c r="G4" t="n">
        <v>38555</v>
      </c>
      <c r="H4" t="inlineStr">
        <is>
          <t>3 lifts ~10 m high; 3x denser, light pointer; but busy only ~6% of the 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26" customWidth="1" min="6" max="6"/>
    <col width="24" customWidth="1" min="7" max="7"/>
  </cols>
  <sheetData>
    <row r="1">
      <c r="A1" s="3" t="inlineStr">
        <is>
          <t>Volume</t>
        </is>
      </c>
      <c r="B1" s="3" t="inlineStr">
        <is>
          <t>Direct FTE (peak day)</t>
        </is>
      </c>
      <c r="C1" s="3" t="inlineStr">
        <is>
          <t>ETV 216i needed</t>
        </is>
      </c>
      <c r="D1" s="3" t="inlineStr">
        <is>
          <t>EJE 120i needed</t>
        </is>
      </c>
      <c r="E1" s="3" t="inlineStr">
        <is>
          <t>ERE 225 needed</t>
        </is>
      </c>
      <c r="F1" s="3" t="inlineStr">
        <is>
          <t>Outbound doors (busiest hour)</t>
        </is>
      </c>
      <c r="G1" s="3" t="inlineStr">
        <is>
          <t>Pickers in the busiest wave</t>
        </is>
      </c>
    </row>
    <row r="2">
      <c r="A2" t="inlineStr">
        <is>
          <t>100%</t>
        </is>
      </c>
      <c r="B2" t="n">
        <v>8.699999999999999</v>
      </c>
      <c r="C2" t="n">
        <v>2</v>
      </c>
      <c r="D2" t="n">
        <v>3</v>
      </c>
      <c r="E2" t="n">
        <v>1</v>
      </c>
      <c r="F2" t="n">
        <v>4</v>
      </c>
      <c r="G2" t="n">
        <v>3</v>
      </c>
    </row>
    <row r="3">
      <c r="A3" t="inlineStr">
        <is>
          <t>150%</t>
        </is>
      </c>
      <c r="B3" t="n">
        <v>13.1</v>
      </c>
      <c r="C3" t="n">
        <v>3</v>
      </c>
      <c r="D3" t="n">
        <v>4</v>
      </c>
      <c r="E3" t="n">
        <v>2</v>
      </c>
      <c r="F3" t="n">
        <v>5</v>
      </c>
      <c r="G3" t="n">
        <v>4</v>
      </c>
    </row>
    <row r="4">
      <c r="A4" t="inlineStr">
        <is>
          <t>200%</t>
        </is>
      </c>
      <c r="B4" t="n">
        <v>17.5</v>
      </c>
      <c r="C4" t="n">
        <v>4</v>
      </c>
      <c r="D4" t="n">
        <v>5</v>
      </c>
      <c r="E4" t="n">
        <v>2</v>
      </c>
      <c r="F4" t="n">
        <v>7</v>
      </c>
      <c r="G4" t="n">
        <v>5</v>
      </c>
    </row>
    <row r="5">
      <c r="A5" t="inlineStr">
        <is>
          <t>250%</t>
        </is>
      </c>
      <c r="B5" t="n">
        <v>21.8</v>
      </c>
      <c r="C5" t="n">
        <v>4</v>
      </c>
      <c r="D5" t="n">
        <v>6</v>
      </c>
      <c r="E5" t="n">
        <v>2</v>
      </c>
      <c r="F5" t="n">
        <v>8</v>
      </c>
      <c r="G5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Driver</t>
        </is>
      </c>
      <c r="B1" s="3" t="inlineStr">
        <is>
          <t>Low EUR/yr</t>
        </is>
      </c>
      <c r="C1" s="3" t="inlineStr">
        <is>
          <t>High EUR/yr</t>
        </is>
      </c>
      <c r="D1" s="3" t="inlineStr">
        <is>
          <t>Swing EUR/yr</t>
        </is>
      </c>
    </row>
    <row r="2">
      <c r="A2" t="inlineStr">
        <is>
          <t>Reach-truck lease (€495–1,550/month)</t>
        </is>
      </c>
      <c r="B2" t="n">
        <v>470905</v>
      </c>
      <c r="C2" t="n">
        <v>496225</v>
      </c>
      <c r="D2" t="n">
        <v>25320</v>
      </c>
    </row>
    <row r="3">
      <c r="A3" t="inlineStr">
        <is>
          <t>Productivity ±20% (labour hours)</t>
        </is>
      </c>
      <c r="B3" t="n">
        <v>443980</v>
      </c>
      <c r="C3" t="n">
        <v>517271</v>
      </c>
      <c r="D3" t="n">
        <v>73291</v>
      </c>
    </row>
    <row r="4">
      <c r="A4" t="inlineStr">
        <is>
          <t>Racking price (€80–200/position)</t>
        </is>
      </c>
      <c r="B4" t="n">
        <v>446129</v>
      </c>
      <c r="C4" t="n">
        <v>528920</v>
      </c>
      <c r="D4" t="n">
        <v>82790</v>
      </c>
    </row>
    <row r="5">
      <c r="A5" t="inlineStr">
        <is>
          <t>Labour rate (€20–28/h)</t>
        </is>
      </c>
      <c r="B5" t="n">
        <v>480625</v>
      </c>
      <c r="C5" t="n">
        <v>566409</v>
      </c>
      <c r="D5" t="n">
        <v>85784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2026-10-18T16:26:49Z</dcterms:created>
  <dcterms:modified xmlns:dcterms="http://purl.org/dc/terms/" xmlns:xsi="http://www.w3.org/2001/XMLSchema-instance" xsi:type="dcterms:W3CDTF">2026-10-18T16:26:49Z</dcterms:modified>
</cp:coreProperties>
</file>